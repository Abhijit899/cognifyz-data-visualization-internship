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ji\Downloads\"/>
    </mc:Choice>
  </mc:AlternateContent>
  <xr:revisionPtr revIDLastSave="0" documentId="13_ncr:1_{7BAC6877-2453-4FC7-AFB0-23BEC8374E3E}" xr6:coauthVersionLast="47" xr6:coauthVersionMax="47" xr10:uidLastSave="{00000000-0000-0000-0000-000000000000}"/>
  <bookViews>
    <workbookView xWindow="-108" yWindow="-108" windowWidth="23256" windowHeight="12456" xr2:uid="{D5CC0F77-6485-4E55-8505-984AB1808A36}"/>
  </bookViews>
  <sheets>
    <sheet name="Sheet3" sheetId="12" r:id="rId1"/>
    <sheet name="Sheet5" sheetId="14" r:id="rId2"/>
    <sheet name="Data_set 2" sheetId="1" r:id="rId3"/>
  </sheet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Z2" i="1"/>
  <c r="Y2" i="1" a="1"/>
  <c r="Y2" i="1"/>
  <c r="Y3" i="1" a="1"/>
  <c r="Y3" i="1"/>
  <c r="Y7" i="1" a="1"/>
  <c r="Y7" i="1"/>
  <c r="Y9" i="1" a="1"/>
  <c r="Y9" i="1"/>
  <c r="Y11" i="1" a="1"/>
  <c r="Y11" i="1"/>
  <c r="Y12" i="1" a="1"/>
  <c r="Y12" i="1"/>
  <c r="Y13" i="1" a="1"/>
  <c r="Y13" i="1"/>
  <c r="Y14" i="1" a="1"/>
  <c r="Y14" i="1"/>
  <c r="Y15" i="1" a="1"/>
  <c r="Y15" i="1"/>
  <c r="Y16" i="1" a="1"/>
  <c r="Y16" i="1"/>
  <c r="Y17" i="1" a="1"/>
  <c r="Y17" i="1"/>
  <c r="Y18" i="1" a="1"/>
  <c r="Y18" i="1"/>
  <c r="Y19" i="1" a="1"/>
  <c r="Y19" i="1"/>
  <c r="Y20" i="1" a="1"/>
  <c r="Y20" i="1"/>
  <c r="Y21" i="1" a="1"/>
  <c r="Y21" i="1"/>
  <c r="Y22" i="1" a="1"/>
  <c r="Y22" i="1"/>
  <c r="Y24" i="1" a="1"/>
  <c r="Y24" i="1"/>
  <c r="Y27" i="1" a="1"/>
  <c r="Y27" i="1"/>
  <c r="Y28" i="1" a="1"/>
  <c r="Y28" i="1"/>
  <c r="Y29" i="1" a="1"/>
  <c r="Y29" i="1"/>
  <c r="Y31" i="1" a="1"/>
  <c r="Y31" i="1"/>
  <c r="Y32" i="1" a="1"/>
  <c r="Y32" i="1"/>
  <c r="Y33" i="1" a="1"/>
  <c r="Y33" i="1"/>
  <c r="Y35" i="1" a="1"/>
  <c r="Y35" i="1"/>
  <c r="Y36" i="1" a="1"/>
  <c r="Y36" i="1"/>
  <c r="Y37" i="1" a="1"/>
  <c r="Y37" i="1"/>
  <c r="Y41" i="1" a="1"/>
  <c r="Y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<sst xmlns="http://schemas.openxmlformats.org/spreadsheetml/2006/main" count="693" uniqueCount="74">
  <si>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</si>
  <si>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</si>
  <si>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</si>
  <si>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</si>
  <si>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</si>
  <si>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</si>
  <si>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</si>
  <si>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</si>
  <si>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</si>
  <si>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</si>
  <si>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</si>
  <si>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</si>
  <si>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</si>
  <si>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</si>
  <si>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</si>
  <si>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</si>
  <si>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</si>
  <si>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</si>
  <si>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</si>
  <si>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</si>
  <si>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</si>
  <si>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</si>
  <si>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</si>
  <si>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</si>
  <si>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</si>
  <si>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</si>
  <si>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</si>
  <si>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</si>
  <si>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</si>
  <si>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</si>
  <si>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</si>
  <si>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</si>
  <si>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</si>
  <si>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</si>
  <si>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</si>
  <si>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</si>
  <si>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</si>
  <si>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</si>
  <si>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</si>
  <si>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</si>
  <si>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</si>
  <si>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</si>
  <si>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</si>
  <si>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</si>
  <si>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</si>
  <si>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</si>
  <si>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</si>
  <si>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</si>
  <si>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</si>
  <si>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</si>
  <si>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</si>
  <si>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</si>
  <si>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</si>
  <si>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</si>
  <si>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</si>
  <si>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</si>
  <si>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</si>
  <si>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</si>
  <si>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</si>
  <si>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</si>
  <si>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</si>
  <si>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</si>
  <si>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</si>
  <si>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</si>
  <si>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</si>
  <si>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</si>
  <si>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</si>
  <si>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</si>
  <si>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</si>
  <si>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</si>
  <si>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Other</t>
  </si>
  <si>
    <t>Primary Reasons</t>
  </si>
  <si>
    <t>Count of What are your savings objectives?</t>
  </si>
  <si>
    <t>Count of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</si>
</sst>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7" fillId="33" borderId="0" xfId="0" applyFont="1" applyFill="1"/>
    <xf numFmtId="0" fontId="0" fillId="34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3_Objective Source.Xlsx]Sheet3!PivotTable1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Savings Objectives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1111111111111112E-2"/>
              <c:y val="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0A9-4005-883E-C9241DE43C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13-4BB1-B57A-1014DCCAA4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13-4BB1-B57A-1014DCCAA4F2}"/>
              </c:ext>
            </c:extLst>
          </c:dPt>
          <c:dLbls>
            <c:dLbl>
              <c:idx val="0"/>
              <c:layout>
                <c:manualLayout>
                  <c:x val="-1.1111111111111112E-2"/>
                  <c:y val="4.2437781360066642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50A9-4005-883E-C9241DE43C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Sheet3!$A$4:$A$7</c:f>
              <c:strCache>
                <c:ptCount val="3"/>
                <c:pt idx="0">
                  <c:v>Education</c:v>
                </c:pt>
                <c:pt idx="1">
                  <c:v>Health Care</c:v>
                </c:pt>
                <c:pt idx="2">
                  <c:v>Retirement Plan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3</c:v>
                </c:pt>
                <c:pt idx="1">
                  <c:v>13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9-4005-883E-C9241DE43C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3_Objective Source.Xlsx]Sheet5!PivotTable3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of Information Source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powder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powder"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powder"/>
        </c:spPr>
      </c:pivotFmt>
      <c:pivotFmt>
        <c:idx val="3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powder"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powder"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powder"/>
            </c:spPr>
            <c:extLst>
              <c:ext xmlns:c16="http://schemas.microsoft.com/office/drawing/2014/chart" uri="{C3380CC4-5D6E-409C-BE32-E72D297353CC}">
                <c16:uniqueId val="{00000004-FFF7-4421-ADB2-500F48F31E5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powder"/>
            </c:spPr>
            <c:extLst>
              <c:ext xmlns:c16="http://schemas.microsoft.com/office/drawing/2014/chart" uri="{C3380CC4-5D6E-409C-BE32-E72D297353CC}">
                <c16:uniqueId val="{00000002-FFF7-4421-ADB2-500F48F31E50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powder"/>
            </c:spPr>
            <c:extLst>
              <c:ext xmlns:c16="http://schemas.microsoft.com/office/drawing/2014/chart" uri="{C3380CC4-5D6E-409C-BE32-E72D297353CC}">
                <c16:uniqueId val="{00000003-FFF7-4421-ADB2-500F48F31E50}"/>
              </c:ext>
            </c:extLst>
          </c:dPt>
          <c:cat>
            <c:strRef>
              <c:f>Sheet5!$A$4:$A$8</c:f>
              <c:strCache>
                <c:ptCount val="4"/>
                <c:pt idx="0">
                  <c:v>Financial Consultants</c:v>
                </c:pt>
                <c:pt idx="1">
                  <c:v>Internet</c:v>
                </c:pt>
                <c:pt idx="2">
                  <c:v>Newspapers and Magazines</c:v>
                </c:pt>
                <c:pt idx="3">
                  <c:v>Television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7-4421-ADB2-500F48F31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7127248"/>
        <c:axId val="2068061040"/>
      </c:barChart>
      <c:catAx>
        <c:axId val="1557127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33688473315835521"/>
              <c:y val="0.8472936716243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061040"/>
        <c:crosses val="autoZero"/>
        <c:auto val="1"/>
        <c:lblAlgn val="ctr"/>
        <c:lblOffset val="100"/>
        <c:noMultiLvlLbl val="0"/>
      </c:catAx>
      <c:valAx>
        <c:axId val="206806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Information</a:t>
                </a:r>
                <a:r>
                  <a:rPr lang="en-IN" baseline="0"/>
                  <a:t> Source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2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1</xdr:row>
      <xdr:rowOff>91440</xdr:rowOff>
    </xdr:from>
    <xdr:to>
      <xdr:col>9</xdr:col>
      <xdr:colOff>45720</xdr:colOff>
      <xdr:row>16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493814-2C61-18E7-56B6-FD603A149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2</xdr:row>
      <xdr:rowOff>45720</xdr:rowOff>
    </xdr:from>
    <xdr:to>
      <xdr:col>10</xdr:col>
      <xdr:colOff>167640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6C0B21-CDF8-2F8A-F6D3-A754B92C4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it Singh" refreshedDate="46292.415576388892" createdVersion="8" refreshedVersion="8" minRefreshableVersion="3" recordCount="40" xr:uid="{4A429298-AAFD-4EEE-BCA6-D9784B1D240D}">
  <cacheSource type="worksheet">
    <worksheetSource ref="A1:AA41" sheet="Data_set 2"/>
  </cacheSource>
  <cacheFields count="27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 count="3">
        <s v="Retirement Plan"/>
        <s v="Health Care"/>
        <s v="Education"/>
      </sharedItems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 count="4">
        <s v="Newspapers and Magazines"/>
        <s v="Financial Consultants"/>
        <s v="Television"/>
        <s v="Internet"/>
      </sharedItems>
    </cacheField>
    <cacheField name="Primary Reasons" numFmtId="0">
      <sharedItems/>
    </cacheField>
    <cacheField name="Female" numFmtId="0">
      <sharedItems containsString="0" containsBlank="1" containsNumber="1" containsInteger="1" minValue="15" maxValue="15"/>
    </cacheField>
    <cacheField name="Male" numFmtId="0">
      <sharedItems containsString="0" containsBlank="1" containsNumber="1" containsInteger="1" minValue="25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x v="0"/>
    <s v="Capital Appreciation"/>
    <s v="Better Returns"/>
    <s v="Safe Investment"/>
    <s v="Fixed Returns"/>
    <x v="0"/>
    <s v="Better Returns"/>
    <n v="15"/>
    <n v="25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x v="1"/>
    <s v="Dividend"/>
    <s v="Better Returns"/>
    <s v="Safe Investment"/>
    <s v="High Interest Rates"/>
    <x v="1"/>
    <s v="Better Returns"/>
    <m/>
    <m/>
  </r>
  <r>
    <s v="Male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x v="0"/>
    <s v="Capital Appreciation"/>
    <s v="Tax Benefits"/>
    <s v="Assured Returns"/>
    <s v="Fixed Returns"/>
    <x v="2"/>
    <s v="Other"/>
    <m/>
    <m/>
  </r>
  <r>
    <s v="Male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x v="0"/>
    <s v="Dividend"/>
    <s v="Fund Diversification"/>
    <s v="Tax Incentives"/>
    <s v="High Interest Rates"/>
    <x v="3"/>
    <s v="Other"/>
    <m/>
    <m/>
  </r>
  <r>
    <s v="Female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x v="0"/>
    <s v="Capital Appreciation"/>
    <s v="Better Returns"/>
    <s v="Safe Investment"/>
    <s v="Risk Free"/>
    <x v="3"/>
    <s v="Other"/>
    <m/>
    <m/>
  </r>
  <r>
    <s v="Female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x v="0"/>
    <s v="Liquidity"/>
    <s v="Fund Diversification"/>
    <s v="Safe Investment"/>
    <s v="Risk Free"/>
    <x v="3"/>
    <s v="Fund Diversification"/>
    <m/>
    <m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x v="0"/>
    <s v="Capital Appreciation"/>
    <s v="Better Returns"/>
    <s v="Assured Returns"/>
    <s v="High Interest Rates"/>
    <x v="1"/>
    <s v="Other"/>
    <m/>
    <m/>
  </r>
  <r>
    <s v="Male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x v="0"/>
    <s v="Capital Appreciation"/>
    <s v="Better Returns"/>
    <s v="Assured Returns"/>
    <s v="Risk Free"/>
    <x v="0"/>
    <s v="Better Returns"/>
    <m/>
    <m/>
  </r>
  <r>
    <s v="Male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x v="0"/>
    <s v="Capital Appreciation"/>
    <s v="Fund Diversification"/>
    <s v="Safe Investment"/>
    <s v="Fixed Returns"/>
    <x v="2"/>
    <s v="Other"/>
    <m/>
    <m/>
  </r>
  <r>
    <s v="Male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x v="0"/>
    <s v="Capital Appreciation"/>
    <s v="Fund Diversification"/>
    <s v="Assured Returns"/>
    <s v="Fixed Returns"/>
    <x v="0"/>
    <s v="Fixed Returns"/>
    <m/>
    <m/>
  </r>
  <r>
    <s v="Female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x v="0"/>
    <s v="Capital Appreciation"/>
    <s v="Better Returns"/>
    <s v="Assured Returns"/>
    <s v="Risk Free"/>
    <x v="1"/>
    <s v="Better Returns"/>
    <m/>
    <m/>
  </r>
  <r>
    <s v="Male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x v="0"/>
    <s v="Capital Appreciation"/>
    <s v="Fund Diversification"/>
    <s v="Assured Returns"/>
    <s v="Fixed Returns"/>
    <x v="1"/>
    <s v="Fund Diversification"/>
    <m/>
    <m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x v="2"/>
    <s v="Dividend"/>
    <s v="Better Returns"/>
    <s v="Safe Investment"/>
    <s v="Risk Free"/>
    <x v="3"/>
    <s v="Better Returns"/>
    <m/>
    <m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x v="0"/>
    <s v="Capital Appreciation"/>
    <s v="Fund Diversification"/>
    <s v="Assured Returns"/>
    <s v="Risk Free"/>
    <x v="0"/>
    <s v="Fund Diversification"/>
    <m/>
    <m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x v="1"/>
    <s v="Dividend"/>
    <s v="Better Returns"/>
    <s v="Assured Returns"/>
    <s v="Risk Free"/>
    <x v="1"/>
    <s v="Risk Free"/>
    <m/>
    <m/>
  </r>
  <r>
    <s v="Male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x v="1"/>
    <s v="Capital Appreciation"/>
    <s v="Fund Diversification"/>
    <s v="Assured Returns"/>
    <s v="Risk Free"/>
    <x v="0"/>
    <s v="Fund Diversification"/>
    <m/>
    <m/>
  </r>
  <r>
    <s v="Female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x v="1"/>
    <s v="Capital Appreciation"/>
    <s v="Fund Diversification"/>
    <s v="Assured Returns"/>
    <s v="Risk Free"/>
    <x v="2"/>
    <s v="Risk Free"/>
    <m/>
    <m/>
  </r>
  <r>
    <s v="Male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x v="0"/>
    <s v="Capital Appreciation"/>
    <s v="Better Returns"/>
    <s v="Assured Returns"/>
    <s v="Risk Free"/>
    <x v="1"/>
    <s v="Better Returns"/>
    <m/>
    <m/>
  </r>
  <r>
    <s v="Male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x v="0"/>
    <s v="Capital Appreciation"/>
    <s v="Better Returns"/>
    <s v="Assured Returns"/>
    <s v="Risk Free"/>
    <x v="0"/>
    <s v="Better Returns"/>
    <m/>
    <m/>
  </r>
  <r>
    <s v="Male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x v="1"/>
    <s v="Capital Appreciation"/>
    <s v="Fund Diversification"/>
    <s v="Assured Returns"/>
    <s v="Risk Free"/>
    <x v="0"/>
    <s v="Risk Free"/>
    <m/>
    <m/>
  </r>
  <r>
    <s v="Male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x v="0"/>
    <s v="Capital Appreciation"/>
    <s v="Better Returns"/>
    <s v="Assured Returns"/>
    <s v="Fixed Returns"/>
    <x v="1"/>
    <s v="Better Returns"/>
    <m/>
    <m/>
  </r>
  <r>
    <s v="Female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x v="1"/>
    <s v="Capital Appreciation"/>
    <s v="Better Returns"/>
    <s v="Assured Returns"/>
    <s v="Risk Free"/>
    <x v="0"/>
    <s v="Other"/>
    <m/>
    <m/>
  </r>
  <r>
    <s v="Male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x v="0"/>
    <s v="Capital Appreciation"/>
    <s v="Better Returns"/>
    <s v="Assured Returns"/>
    <s v="Risk Free"/>
    <x v="1"/>
    <s v="Better Returns"/>
    <m/>
    <m/>
  </r>
  <r>
    <s v="Male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x v="1"/>
    <s v="Liquidity"/>
    <s v="Better Returns"/>
    <s v="Assured Returns"/>
    <s v="Risk Free"/>
    <x v="1"/>
    <s v="Other"/>
    <m/>
    <m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x v="0"/>
    <s v="Capital Appreciation"/>
    <s v="Better Returns"/>
    <s v="Assured Returns"/>
    <s v="Risk Free"/>
    <x v="0"/>
    <s v="Other"/>
    <m/>
    <m/>
  </r>
  <r>
    <s v="Female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x v="0"/>
    <s v="Capital Appreciation"/>
    <s v="Better Returns"/>
    <s v="Assured Returns"/>
    <s v="Fixed Returns"/>
    <x v="1"/>
    <s v="Better Returns"/>
    <m/>
    <m/>
  </r>
  <r>
    <s v="Male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x v="0"/>
    <s v="Dividend"/>
    <s v="Fund Diversification"/>
    <s v="Assured Returns"/>
    <s v="Fixed Returns"/>
    <x v="1"/>
    <s v="Fund Diversification"/>
    <m/>
    <m/>
  </r>
  <r>
    <s v="Male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x v="1"/>
    <s v="Capital Appreciation"/>
    <s v="Fund Diversification"/>
    <s v="Safe Investment"/>
    <s v="Fixed Returns"/>
    <x v="2"/>
    <s v="Fixed Returns"/>
    <m/>
    <m/>
  </r>
  <r>
    <s v="Male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x v="0"/>
    <s v="Capital Appreciation"/>
    <s v="Better Returns"/>
    <s v="Assured Returns"/>
    <s v="Risk Free"/>
    <x v="2"/>
    <s v="Other"/>
    <m/>
    <m/>
  </r>
  <r>
    <s v="Female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x v="0"/>
    <s v="Capital Appreciation"/>
    <s v="Tax Benefits"/>
    <s v="Safe Investment"/>
    <s v="Fixed Returns"/>
    <x v="0"/>
    <s v="Tax Benefits"/>
    <m/>
    <m/>
  </r>
  <r>
    <s v="Male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x v="2"/>
    <s v="Capital Appreciation"/>
    <s v="Tax Benefits"/>
    <s v="Safe Investment"/>
    <s v="Fixed Returns"/>
    <x v="2"/>
    <s v="Tax Benefits"/>
    <m/>
    <m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x v="0"/>
    <s v="Capital Appreciation"/>
    <s v="Better Returns"/>
    <s v="Assured Returns"/>
    <s v="Fixed Returns"/>
    <x v="1"/>
    <s v="Fixed Returns"/>
    <m/>
    <m/>
  </r>
  <r>
    <s v="Male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x v="1"/>
    <s v="Capital Appreciation"/>
    <s v="Fund Diversification"/>
    <s v="Assured Returns"/>
    <s v="Fixed Returns"/>
    <x v="0"/>
    <s v="Other"/>
    <m/>
    <m/>
  </r>
  <r>
    <s v="Male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x v="2"/>
    <s v="Dividend"/>
    <s v="Better Returns"/>
    <s v="Safe Investment"/>
    <s v="Risk Free"/>
    <x v="0"/>
    <s v="Risk Free"/>
    <m/>
    <m/>
  </r>
  <r>
    <s v="Male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x v="1"/>
    <s v="Capital Appreciation"/>
    <s v="Better Returns"/>
    <s v="Safe Investment"/>
    <s v="Fixed Returns"/>
    <x v="1"/>
    <s v="Better Returns"/>
    <m/>
    <m/>
  </r>
  <r>
    <s v="Male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x v="1"/>
    <s v="Capital Appreciation"/>
    <s v="Better Returns"/>
    <s v="Assured Returns"/>
    <s v="Fixed Returns"/>
    <x v="1"/>
    <s v="Fixed Returns"/>
    <m/>
    <m/>
  </r>
  <r>
    <s v="Male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x v="0"/>
    <s v="Capital Appreciation"/>
    <s v="Better Returns"/>
    <s v="Assured Returns"/>
    <s v="Risk Free"/>
    <x v="0"/>
    <s v="Other"/>
    <m/>
    <m/>
  </r>
  <r>
    <s v="Male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x v="1"/>
    <s v="Capital Appreciation"/>
    <s v="Better Returns"/>
    <s v="Safe Investment"/>
    <s v="Fixed Returns"/>
    <x v="1"/>
    <s v="Other"/>
    <m/>
    <m/>
  </r>
  <r>
    <s v="Male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x v="1"/>
    <s v="Dividend"/>
    <s v="Fund Diversification"/>
    <s v="Assured Returns"/>
    <s v="Fixed Returns"/>
    <x v="0"/>
    <s v="Other"/>
    <m/>
    <m/>
  </r>
  <r>
    <s v="Male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x v="0"/>
    <s v="Dividend"/>
    <s v="Better Returns"/>
    <s v="Safe Investment"/>
    <s v="Fixed Returns"/>
    <x v="1"/>
    <s v="Fixed Returns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5B68F-70D2-4026-99F1-B4183EBCF2B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 are your savings objectives?" fld="18" subtotal="count" baseField="0" baseItem="0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28C5C-D734-456D-8795-F8CE6F2BEC27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ource" fld="23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7309-C25C-4A33-873D-755E8124424B}">
  <dimension ref="A3:B7"/>
  <sheetViews>
    <sheetView tabSelected="1" workbookViewId="0">
      <selection activeCell="K20" sqref="K20"/>
    </sheetView>
  </sheetViews>
  <sheetFormatPr defaultRowHeight="14.4" x14ac:dyDescent="0.3"/>
  <cols>
    <col min="1" max="1" width="13.88671875" bestFit="1" customWidth="1"/>
    <col min="2" max="2" width="36.33203125" bestFit="1" customWidth="1"/>
    <col min="3" max="3" width="10.77734375" bestFit="1" customWidth="1"/>
    <col min="4" max="4" width="14.44140625" bestFit="1" customWidth="1"/>
    <col min="5" max="5" width="10.5546875" bestFit="1" customWidth="1"/>
  </cols>
  <sheetData>
    <row r="3" spans="1:2" x14ac:dyDescent="0.3">
      <c r="A3" s="3" t="s">
        <v>68</v>
      </c>
      <c r="B3" t="s">
        <v>72</v>
      </c>
    </row>
    <row r="4" spans="1:2" x14ac:dyDescent="0.3">
      <c r="A4" s="4" t="s">
        <v>66</v>
      </c>
      <c r="B4">
        <v>3</v>
      </c>
    </row>
    <row r="5" spans="1:2" x14ac:dyDescent="0.3">
      <c r="A5" s="4" t="s">
        <v>42</v>
      </c>
      <c r="B5">
        <v>13</v>
      </c>
    </row>
    <row r="6" spans="1:2" x14ac:dyDescent="0.3">
      <c r="A6" s="4" t="s">
        <v>33</v>
      </c>
      <c r="B6">
        <v>24</v>
      </c>
    </row>
    <row r="7" spans="1:2" x14ac:dyDescent="0.3">
      <c r="A7" s="4" t="s">
        <v>69</v>
      </c>
      <c r="B7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55EE4-DB8F-4EB7-BA69-5014AEA68F30}">
  <dimension ref="A3:B8"/>
  <sheetViews>
    <sheetView workbookViewId="0">
      <selection activeCell="L23" sqref="L23"/>
    </sheetView>
  </sheetViews>
  <sheetFormatPr defaultRowHeight="14.4" x14ac:dyDescent="0.3"/>
  <cols>
    <col min="1" max="1" width="23.5546875" bestFit="1" customWidth="1"/>
    <col min="2" max="2" width="14" bestFit="1" customWidth="1"/>
  </cols>
  <sheetData>
    <row r="3" spans="1:2" x14ac:dyDescent="0.3">
      <c r="A3" s="3" t="s">
        <v>68</v>
      </c>
      <c r="B3" t="s">
        <v>73</v>
      </c>
    </row>
    <row r="4" spans="1:2" x14ac:dyDescent="0.3">
      <c r="A4" s="4" t="s">
        <v>45</v>
      </c>
      <c r="B4">
        <v>16</v>
      </c>
    </row>
    <row r="5" spans="1:2" x14ac:dyDescent="0.3">
      <c r="A5" s="4" t="s">
        <v>58</v>
      </c>
      <c r="B5">
        <v>4</v>
      </c>
    </row>
    <row r="6" spans="1:2" x14ac:dyDescent="0.3">
      <c r="A6" s="4" t="s">
        <v>37</v>
      </c>
      <c r="B6">
        <v>14</v>
      </c>
    </row>
    <row r="7" spans="1:2" x14ac:dyDescent="0.3">
      <c r="A7" s="4" t="s">
        <v>52</v>
      </c>
      <c r="B7">
        <v>6</v>
      </c>
    </row>
    <row r="8" spans="1:2" x14ac:dyDescent="0.3">
      <c r="A8" s="4" t="s">
        <v>69</v>
      </c>
      <c r="B8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6AF5-23F9-42A1-8556-AF702E4C0DB2}">
  <dimension ref="A1:AC41"/>
  <sheetViews>
    <sheetView workbookViewId="0">
      <selection activeCell="B7" sqref="B7"/>
    </sheetView>
  </sheetViews>
  <sheetFormatPr defaultRowHeight="14.4" x14ac:dyDescent="0.3"/>
  <cols>
    <col min="1" max="1" width="7" style="2" bestFit="1" customWidth="1"/>
    <col min="2" max="2" width="3.88671875" style="2" bestFit="1" customWidth="1"/>
    <col min="3" max="3" width="17.5546875" style="2" bestFit="1" customWidth="1"/>
    <col min="4" max="5" width="12.109375" style="2" bestFit="1" customWidth="1"/>
    <col min="6" max="6" width="10.33203125" style="2" bestFit="1" customWidth="1"/>
    <col min="7" max="7" width="16.77734375" style="2" bestFit="1" customWidth="1"/>
    <col min="8" max="8" width="13.109375" style="2" bestFit="1" customWidth="1"/>
    <col min="9" max="9" width="4.21875" style="2" bestFit="1" customWidth="1"/>
    <col min="10" max="10" width="4.77734375" style="2" bestFit="1" customWidth="1"/>
    <col min="11" max="11" width="12.33203125" style="2" bestFit="1" customWidth="1"/>
    <col min="12" max="12" width="12.6640625" style="2" bestFit="1" customWidth="1"/>
    <col min="13" max="13" width="17.44140625" style="2" bestFit="1" customWidth="1"/>
    <col min="14" max="14" width="15.21875" style="2" bestFit="1" customWidth="1"/>
    <col min="15" max="15" width="15.109375" style="2" bestFit="1" customWidth="1"/>
    <col min="16" max="16" width="12.5546875" style="2" bestFit="1" customWidth="1"/>
    <col min="17" max="17" width="8.77734375" style="2" bestFit="1" customWidth="1"/>
    <col min="18" max="18" width="18.44140625" style="2" bestFit="1" customWidth="1"/>
    <col min="19" max="19" width="28" style="2" bestFit="1" customWidth="1"/>
    <col min="20" max="20" width="17.44140625" style="2" bestFit="1" customWidth="1"/>
    <col min="21" max="21" width="16.88671875" style="2" bestFit="1" customWidth="1"/>
    <col min="22" max="22" width="14.21875" style="2" bestFit="1" customWidth="1"/>
    <col min="23" max="23" width="16.109375" style="2" bestFit="1" customWidth="1"/>
    <col min="24" max="24" width="23.5546875" style="2" bestFit="1" customWidth="1"/>
    <col min="25" max="25" width="16.88671875" style="2" bestFit="1" customWidth="1"/>
    <col min="26" max="29" width="8.88671875" style="2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71</v>
      </c>
      <c r="Z1" s="2" t="s">
        <v>24</v>
      </c>
      <c r="AA1" s="1" t="s">
        <v>46</v>
      </c>
    </row>
    <row r="2" spans="1:27" x14ac:dyDescent="0.3">
      <c r="A2" s="2" t="s">
        <v>24</v>
      </c>
      <c r="B2" s="2">
        <v>34</v>
      </c>
      <c r="C2" s="2" t="s">
        <v>25</v>
      </c>
      <c r="D2" s="2">
        <v>1</v>
      </c>
      <c r="E2" s="2">
        <v>2</v>
      </c>
      <c r="F2" s="2">
        <v>5</v>
      </c>
      <c r="G2" s="2">
        <v>3</v>
      </c>
      <c r="H2" s="2">
        <v>7</v>
      </c>
      <c r="I2" s="2">
        <v>6</v>
      </c>
      <c r="J2" s="2">
        <v>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27</v>
      </c>
      <c r="U2" s="2" t="s">
        <v>34</v>
      </c>
      <c r="V2" s="2" t="s">
        <v>35</v>
      </c>
      <c r="W2" s="2" t="s">
        <v>36</v>
      </c>
      <c r="X2" s="2" t="s">
        <v>37</v>
      </c>
      <c r="Y2" s="2" t="str" cm="1">
        <f t="array" ref="Y2">_xlfn.IFS(R2="Equity Market",T2,R2="Mutual Fund",U2,R2="Government Bonds",V2,R2="Fixed Deposits",W2)</f>
        <v>Better Returns</v>
      </c>
      <c r="Z2" s="2">
        <f>COUNTIF(A1:A41,A2)</f>
        <v>15</v>
      </c>
      <c r="AA2" s="2">
        <f>COUNTIF(A1:A41,A4)</f>
        <v>25</v>
      </c>
    </row>
    <row r="3" spans="1:27" x14ac:dyDescent="0.3">
      <c r="A3" s="2" t="s">
        <v>24</v>
      </c>
      <c r="B3" s="2">
        <v>23</v>
      </c>
      <c r="C3" s="2" t="s">
        <v>25</v>
      </c>
      <c r="D3" s="2">
        <v>4</v>
      </c>
      <c r="E3" s="2">
        <v>3</v>
      </c>
      <c r="F3" s="2">
        <v>2</v>
      </c>
      <c r="G3" s="2">
        <v>1</v>
      </c>
      <c r="H3" s="2">
        <v>5</v>
      </c>
      <c r="I3" s="2">
        <v>6</v>
      </c>
      <c r="J3" s="2">
        <v>7</v>
      </c>
      <c r="K3" s="2" t="s">
        <v>38</v>
      </c>
      <c r="L3" s="2" t="s">
        <v>39</v>
      </c>
      <c r="M3" s="2" t="s">
        <v>27</v>
      </c>
      <c r="N3" s="2" t="s">
        <v>28</v>
      </c>
      <c r="O3" s="2" t="s">
        <v>40</v>
      </c>
      <c r="P3" s="2" t="s">
        <v>41</v>
      </c>
      <c r="Q3" s="2" t="s">
        <v>31</v>
      </c>
      <c r="R3" s="2" t="s">
        <v>32</v>
      </c>
      <c r="S3" s="2" t="s">
        <v>42</v>
      </c>
      <c r="T3" s="2" t="s">
        <v>43</v>
      </c>
      <c r="U3" s="2" t="s">
        <v>34</v>
      </c>
      <c r="V3" s="2" t="s">
        <v>35</v>
      </c>
      <c r="W3" s="2" t="s">
        <v>44</v>
      </c>
      <c r="X3" s="2" t="s">
        <v>45</v>
      </c>
      <c r="Y3" s="2" t="str" cm="1">
        <f t="array" ref="Y3">_xlfn.IFS(R3="Equity Market",T3,R3="Mutual Fund",U3,R3="Government Bonds",V3,R3="Fixed Deposits",W3)</f>
        <v>Better Returns</v>
      </c>
    </row>
    <row r="4" spans="1:27" x14ac:dyDescent="0.3">
      <c r="A4" s="2" t="s">
        <v>46</v>
      </c>
      <c r="B4" s="2">
        <v>30</v>
      </c>
      <c r="C4" s="2" t="s">
        <v>25</v>
      </c>
      <c r="D4" s="2">
        <v>3</v>
      </c>
      <c r="E4" s="2">
        <v>6</v>
      </c>
      <c r="F4" s="2">
        <v>4</v>
      </c>
      <c r="G4" s="2">
        <v>2</v>
      </c>
      <c r="H4" s="2">
        <v>5</v>
      </c>
      <c r="I4" s="2">
        <v>1</v>
      </c>
      <c r="J4" s="2">
        <v>7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47</v>
      </c>
      <c r="P4" s="2" t="s">
        <v>48</v>
      </c>
      <c r="Q4" s="2" t="s">
        <v>31</v>
      </c>
      <c r="R4" s="2" t="s">
        <v>49</v>
      </c>
      <c r="S4" s="2" t="s">
        <v>33</v>
      </c>
      <c r="T4" s="2" t="s">
        <v>27</v>
      </c>
      <c r="U4" s="2" t="s">
        <v>50</v>
      </c>
      <c r="V4" s="2" t="s">
        <v>51</v>
      </c>
      <c r="W4" s="2" t="s">
        <v>36</v>
      </c>
      <c r="X4" s="2" t="s">
        <v>52</v>
      </c>
      <c r="Y4" s="2" t="s">
        <v>70</v>
      </c>
    </row>
    <row r="5" spans="1:27" x14ac:dyDescent="0.3">
      <c r="A5" s="2" t="s">
        <v>46</v>
      </c>
      <c r="B5" s="2">
        <v>22</v>
      </c>
      <c r="C5" s="2" t="s">
        <v>25</v>
      </c>
      <c r="D5" s="2">
        <v>2</v>
      </c>
      <c r="E5" s="2">
        <v>1</v>
      </c>
      <c r="F5" s="2">
        <v>3</v>
      </c>
      <c r="G5" s="2">
        <v>7</v>
      </c>
      <c r="H5" s="2">
        <v>6</v>
      </c>
      <c r="I5" s="2">
        <v>4</v>
      </c>
      <c r="J5" s="2">
        <v>5</v>
      </c>
      <c r="K5" s="2" t="s">
        <v>25</v>
      </c>
      <c r="L5" s="2" t="s">
        <v>26</v>
      </c>
      <c r="M5" s="2" t="s">
        <v>53</v>
      </c>
      <c r="N5" s="2" t="s">
        <v>28</v>
      </c>
      <c r="O5" s="2" t="s">
        <v>54</v>
      </c>
      <c r="P5" s="2" t="s">
        <v>48</v>
      </c>
      <c r="Q5" s="2" t="s">
        <v>55</v>
      </c>
      <c r="R5" s="2" t="s">
        <v>49</v>
      </c>
      <c r="S5" s="2" t="s">
        <v>33</v>
      </c>
      <c r="T5" s="2" t="s">
        <v>43</v>
      </c>
      <c r="U5" s="2" t="s">
        <v>56</v>
      </c>
      <c r="V5" s="2" t="s">
        <v>57</v>
      </c>
      <c r="W5" s="2" t="s">
        <v>44</v>
      </c>
      <c r="X5" s="2" t="s">
        <v>58</v>
      </c>
      <c r="Y5" s="2" t="s">
        <v>70</v>
      </c>
    </row>
    <row r="6" spans="1:27" x14ac:dyDescent="0.3">
      <c r="A6" s="2" t="s">
        <v>24</v>
      </c>
      <c r="B6" s="2">
        <v>24</v>
      </c>
      <c r="C6" s="2" t="s">
        <v>38</v>
      </c>
      <c r="D6" s="2">
        <v>2</v>
      </c>
      <c r="E6" s="2">
        <v>1</v>
      </c>
      <c r="F6" s="2">
        <v>3</v>
      </c>
      <c r="G6" s="2">
        <v>6</v>
      </c>
      <c r="H6" s="2">
        <v>4</v>
      </c>
      <c r="I6" s="2">
        <v>5</v>
      </c>
      <c r="J6" s="2">
        <v>7</v>
      </c>
      <c r="K6" s="2" t="s">
        <v>38</v>
      </c>
      <c r="L6" s="2" t="s">
        <v>26</v>
      </c>
      <c r="M6" s="2" t="s">
        <v>53</v>
      </c>
      <c r="N6" s="2" t="s">
        <v>28</v>
      </c>
      <c r="O6" s="2" t="s">
        <v>54</v>
      </c>
      <c r="P6" s="2" t="s">
        <v>48</v>
      </c>
      <c r="Q6" s="2" t="s">
        <v>31</v>
      </c>
      <c r="R6" s="2" t="s">
        <v>49</v>
      </c>
      <c r="S6" s="2" t="s">
        <v>33</v>
      </c>
      <c r="T6" s="2" t="s">
        <v>27</v>
      </c>
      <c r="U6" s="2" t="s">
        <v>34</v>
      </c>
      <c r="V6" s="2" t="s">
        <v>35</v>
      </c>
      <c r="W6" s="2" t="s">
        <v>59</v>
      </c>
      <c r="X6" s="2" t="s">
        <v>58</v>
      </c>
      <c r="Y6" s="2" t="s">
        <v>70</v>
      </c>
    </row>
    <row r="7" spans="1:27" x14ac:dyDescent="0.3">
      <c r="A7" s="2" t="s">
        <v>24</v>
      </c>
      <c r="B7" s="2">
        <v>24</v>
      </c>
      <c r="C7" s="2" t="s">
        <v>38</v>
      </c>
      <c r="D7" s="2">
        <v>7</v>
      </c>
      <c r="E7" s="2">
        <v>5</v>
      </c>
      <c r="F7" s="2">
        <v>4</v>
      </c>
      <c r="G7" s="2">
        <v>6</v>
      </c>
      <c r="H7" s="2">
        <v>3</v>
      </c>
      <c r="I7" s="2">
        <v>1</v>
      </c>
      <c r="J7" s="2">
        <v>2</v>
      </c>
      <c r="K7" s="2" t="s">
        <v>38</v>
      </c>
      <c r="L7" s="2" t="s">
        <v>60</v>
      </c>
      <c r="M7" s="2" t="s">
        <v>27</v>
      </c>
      <c r="N7" s="2" t="s">
        <v>28</v>
      </c>
      <c r="O7" s="2" t="s">
        <v>29</v>
      </c>
      <c r="P7" s="2" t="s">
        <v>48</v>
      </c>
      <c r="Q7" s="2" t="s">
        <v>61</v>
      </c>
      <c r="R7" s="2" t="s">
        <v>32</v>
      </c>
      <c r="S7" s="2" t="s">
        <v>33</v>
      </c>
      <c r="T7" s="2" t="s">
        <v>62</v>
      </c>
      <c r="U7" s="2" t="s">
        <v>56</v>
      </c>
      <c r="V7" s="2" t="s">
        <v>35</v>
      </c>
      <c r="W7" s="2" t="s">
        <v>59</v>
      </c>
      <c r="X7" s="2" t="s">
        <v>58</v>
      </c>
      <c r="Y7" s="2" t="str" cm="1">
        <f t="array" ref="Y7">_xlfn.IFS(R7="Equity Market",T7,R7="Mutual Fund",U7,R7="Government Bonds",V7,R7="Fixed Deposits",W7)</f>
        <v>Fund Diversification</v>
      </c>
    </row>
    <row r="8" spans="1:27" x14ac:dyDescent="0.3">
      <c r="A8" s="2" t="s">
        <v>24</v>
      </c>
      <c r="B8" s="2">
        <v>27</v>
      </c>
      <c r="C8" s="2" t="s">
        <v>25</v>
      </c>
      <c r="D8" s="2">
        <v>3</v>
      </c>
      <c r="E8" s="2">
        <v>6</v>
      </c>
      <c r="F8" s="2">
        <v>4</v>
      </c>
      <c r="G8" s="2">
        <v>2</v>
      </c>
      <c r="H8" s="2">
        <v>5</v>
      </c>
      <c r="I8" s="2">
        <v>1</v>
      </c>
      <c r="J8" s="2">
        <v>7</v>
      </c>
      <c r="K8" s="2" t="s">
        <v>25</v>
      </c>
      <c r="L8" s="2" t="s">
        <v>26</v>
      </c>
      <c r="M8" s="2" t="s">
        <v>27</v>
      </c>
      <c r="N8" s="2" t="s">
        <v>28</v>
      </c>
      <c r="O8" s="2" t="s">
        <v>47</v>
      </c>
      <c r="P8" s="2" t="s">
        <v>30</v>
      </c>
      <c r="Q8" s="2" t="s">
        <v>31</v>
      </c>
      <c r="R8" s="2" t="s">
        <v>49</v>
      </c>
      <c r="S8" s="2" t="s">
        <v>33</v>
      </c>
      <c r="T8" s="2" t="s">
        <v>27</v>
      </c>
      <c r="U8" s="2" t="s">
        <v>34</v>
      </c>
      <c r="V8" s="2" t="s">
        <v>51</v>
      </c>
      <c r="W8" s="2" t="s">
        <v>44</v>
      </c>
      <c r="X8" s="2" t="s">
        <v>45</v>
      </c>
      <c r="Y8" s="2" t="s">
        <v>70</v>
      </c>
    </row>
    <row r="9" spans="1:27" x14ac:dyDescent="0.3">
      <c r="A9" s="2" t="s">
        <v>46</v>
      </c>
      <c r="B9" s="2">
        <v>21</v>
      </c>
      <c r="C9" s="2" t="s">
        <v>25</v>
      </c>
      <c r="D9" s="2">
        <v>2</v>
      </c>
      <c r="E9" s="2">
        <v>3</v>
      </c>
      <c r="F9" s="2">
        <v>7</v>
      </c>
      <c r="G9" s="2">
        <v>4</v>
      </c>
      <c r="H9" s="2">
        <v>6</v>
      </c>
      <c r="I9" s="2">
        <v>1</v>
      </c>
      <c r="J9" s="2">
        <v>5</v>
      </c>
      <c r="K9" s="2" t="s">
        <v>25</v>
      </c>
      <c r="L9" s="2" t="s">
        <v>60</v>
      </c>
      <c r="M9" s="2" t="s">
        <v>27</v>
      </c>
      <c r="N9" s="2" t="s">
        <v>28</v>
      </c>
      <c r="O9" s="2" t="s">
        <v>47</v>
      </c>
      <c r="P9" s="2" t="s">
        <v>30</v>
      </c>
      <c r="Q9" s="2" t="s">
        <v>31</v>
      </c>
      <c r="R9" s="2" t="s">
        <v>32</v>
      </c>
      <c r="S9" s="2" t="s">
        <v>33</v>
      </c>
      <c r="T9" s="2" t="s">
        <v>27</v>
      </c>
      <c r="U9" s="2" t="s">
        <v>34</v>
      </c>
      <c r="V9" s="2" t="s">
        <v>51</v>
      </c>
      <c r="W9" s="2" t="s">
        <v>59</v>
      </c>
      <c r="X9" s="2" t="s">
        <v>37</v>
      </c>
      <c r="Y9" s="2" t="str" cm="1">
        <f t="array" ref="Y9">_xlfn.IFS(R9="Equity Market",T9,R9="Mutual Fund",U9,R9="Government Bonds",V9,R9="Fixed Deposits",W9)</f>
        <v>Better Returns</v>
      </c>
    </row>
    <row r="10" spans="1:27" x14ac:dyDescent="0.3">
      <c r="A10" s="2" t="s">
        <v>46</v>
      </c>
      <c r="B10" s="2">
        <v>35</v>
      </c>
      <c r="C10" s="2" t="s">
        <v>25</v>
      </c>
      <c r="D10" s="2">
        <v>2</v>
      </c>
      <c r="E10" s="2">
        <v>4</v>
      </c>
      <c r="F10" s="2">
        <v>7</v>
      </c>
      <c r="G10" s="2">
        <v>5</v>
      </c>
      <c r="H10" s="2">
        <v>3</v>
      </c>
      <c r="I10" s="2">
        <v>1</v>
      </c>
      <c r="J10" s="2">
        <v>6</v>
      </c>
      <c r="K10" s="2" t="s">
        <v>25</v>
      </c>
      <c r="L10" s="2" t="s">
        <v>26</v>
      </c>
      <c r="M10" s="2" t="s">
        <v>63</v>
      </c>
      <c r="N10" s="2" t="s">
        <v>64</v>
      </c>
      <c r="O10" s="2" t="s">
        <v>29</v>
      </c>
      <c r="P10" s="2" t="s">
        <v>41</v>
      </c>
      <c r="Q10" s="2" t="s">
        <v>31</v>
      </c>
      <c r="R10" s="2" t="s">
        <v>49</v>
      </c>
      <c r="S10" s="2" t="s">
        <v>33</v>
      </c>
      <c r="T10" s="2" t="s">
        <v>27</v>
      </c>
      <c r="U10" s="2" t="s">
        <v>56</v>
      </c>
      <c r="V10" s="2" t="s">
        <v>35</v>
      </c>
      <c r="W10" s="2" t="s">
        <v>36</v>
      </c>
      <c r="X10" s="2" t="s">
        <v>52</v>
      </c>
      <c r="Y10" s="2" t="s">
        <v>70</v>
      </c>
    </row>
    <row r="11" spans="1:27" x14ac:dyDescent="0.3">
      <c r="A11" s="2" t="s">
        <v>46</v>
      </c>
      <c r="B11" s="2">
        <v>31</v>
      </c>
      <c r="C11" s="2" t="s">
        <v>25</v>
      </c>
      <c r="D11" s="2">
        <v>1</v>
      </c>
      <c r="E11" s="2">
        <v>3</v>
      </c>
      <c r="F11" s="2">
        <v>7</v>
      </c>
      <c r="G11" s="2">
        <v>4</v>
      </c>
      <c r="H11" s="2">
        <v>5</v>
      </c>
      <c r="I11" s="2">
        <v>2</v>
      </c>
      <c r="J11" s="2">
        <v>6</v>
      </c>
      <c r="K11" s="2" t="s">
        <v>25</v>
      </c>
      <c r="L11" s="2" t="s">
        <v>26</v>
      </c>
      <c r="M11" s="2" t="s">
        <v>27</v>
      </c>
      <c r="N11" s="2" t="s">
        <v>28</v>
      </c>
      <c r="O11" s="2" t="s">
        <v>47</v>
      </c>
      <c r="P11" s="2" t="s">
        <v>30</v>
      </c>
      <c r="Q11" s="2" t="s">
        <v>61</v>
      </c>
      <c r="R11" s="2" t="s">
        <v>65</v>
      </c>
      <c r="S11" s="2" t="s">
        <v>33</v>
      </c>
      <c r="T11" s="2" t="s">
        <v>27</v>
      </c>
      <c r="U11" s="2" t="s">
        <v>56</v>
      </c>
      <c r="V11" s="2" t="s">
        <v>51</v>
      </c>
      <c r="W11" s="2" t="s">
        <v>36</v>
      </c>
      <c r="X11" s="2" t="s">
        <v>37</v>
      </c>
      <c r="Y11" s="2" t="str" cm="1">
        <f t="array" ref="Y11">_xlfn.IFS(R11="Equity Market",T11,R11="Mutual Fund",U11,R11="Government Bonds",V11,R11="Fixed Deposits",W11)</f>
        <v>Fixed Returns</v>
      </c>
    </row>
    <row r="12" spans="1:27" x14ac:dyDescent="0.3">
      <c r="A12" s="2" t="s">
        <v>24</v>
      </c>
      <c r="B12" s="2">
        <v>35</v>
      </c>
      <c r="C12" s="2" t="s">
        <v>25</v>
      </c>
      <c r="D12" s="2">
        <v>2</v>
      </c>
      <c r="E12" s="2">
        <v>4</v>
      </c>
      <c r="F12" s="2">
        <v>7</v>
      </c>
      <c r="G12" s="2">
        <v>5</v>
      </c>
      <c r="H12" s="2">
        <v>3</v>
      </c>
      <c r="I12" s="2">
        <v>1</v>
      </c>
      <c r="J12" s="2">
        <v>6</v>
      </c>
      <c r="K12" s="2" t="s">
        <v>25</v>
      </c>
      <c r="L12" s="2" t="s">
        <v>60</v>
      </c>
      <c r="M12" s="2" t="s">
        <v>63</v>
      </c>
      <c r="N12" s="2" t="s">
        <v>64</v>
      </c>
      <c r="O12" s="2" t="s">
        <v>47</v>
      </c>
      <c r="P12" s="2" t="s">
        <v>30</v>
      </c>
      <c r="Q12" s="2" t="s">
        <v>31</v>
      </c>
      <c r="R12" s="2" t="s">
        <v>32</v>
      </c>
      <c r="S12" s="2" t="s">
        <v>33</v>
      </c>
      <c r="T12" s="2" t="s">
        <v>27</v>
      </c>
      <c r="U12" s="2" t="s">
        <v>34</v>
      </c>
      <c r="V12" s="2" t="s">
        <v>51</v>
      </c>
      <c r="W12" s="2" t="s">
        <v>59</v>
      </c>
      <c r="X12" s="2" t="s">
        <v>45</v>
      </c>
      <c r="Y12" s="2" t="str" cm="1">
        <f t="array" ref="Y12">_xlfn.IFS(R12="Equity Market",T12,R12="Mutual Fund",U12,R12="Government Bonds",V12,R12="Fixed Deposits",W12)</f>
        <v>Better Returns</v>
      </c>
    </row>
    <row r="13" spans="1:27" x14ac:dyDescent="0.3">
      <c r="A13" s="2" t="s">
        <v>46</v>
      </c>
      <c r="B13" s="2">
        <v>29</v>
      </c>
      <c r="C13" s="2" t="s">
        <v>25</v>
      </c>
      <c r="D13" s="2">
        <v>2</v>
      </c>
      <c r="E13" s="2">
        <v>5</v>
      </c>
      <c r="F13" s="2">
        <v>7</v>
      </c>
      <c r="G13" s="2">
        <v>6</v>
      </c>
      <c r="H13" s="2">
        <v>3</v>
      </c>
      <c r="I13" s="2">
        <v>1</v>
      </c>
      <c r="J13" s="2">
        <v>4</v>
      </c>
      <c r="K13" s="2" t="s">
        <v>25</v>
      </c>
      <c r="L13" s="2" t="s">
        <v>60</v>
      </c>
      <c r="M13" s="2" t="s">
        <v>27</v>
      </c>
      <c r="N13" s="2" t="s">
        <v>28</v>
      </c>
      <c r="O13" s="2" t="s">
        <v>29</v>
      </c>
      <c r="P13" s="2" t="s">
        <v>30</v>
      </c>
      <c r="Q13" s="2" t="s">
        <v>31</v>
      </c>
      <c r="R13" s="2" t="s">
        <v>32</v>
      </c>
      <c r="S13" s="2" t="s">
        <v>33</v>
      </c>
      <c r="T13" s="2" t="s">
        <v>27</v>
      </c>
      <c r="U13" s="2" t="s">
        <v>56</v>
      </c>
      <c r="V13" s="2" t="s">
        <v>51</v>
      </c>
      <c r="W13" s="2" t="s">
        <v>36</v>
      </c>
      <c r="X13" s="2" t="s">
        <v>45</v>
      </c>
      <c r="Y13" s="2" t="str" cm="1">
        <f t="array" ref="Y13">_xlfn.IFS(R13="Equity Market",T13,R13="Mutual Fund",U13,R13="Government Bonds",V13,R13="Fixed Deposits",W13)</f>
        <v>Fund Diversification</v>
      </c>
    </row>
    <row r="14" spans="1:27" x14ac:dyDescent="0.3">
      <c r="A14" s="2" t="s">
        <v>24</v>
      </c>
      <c r="B14" s="2">
        <v>21</v>
      </c>
      <c r="C14" s="2" t="s">
        <v>38</v>
      </c>
      <c r="D14" s="2">
        <v>1</v>
      </c>
      <c r="E14" s="2">
        <v>2</v>
      </c>
      <c r="F14" s="2">
        <v>3</v>
      </c>
      <c r="G14" s="2">
        <v>4</v>
      </c>
      <c r="H14" s="2">
        <v>5</v>
      </c>
      <c r="I14" s="2">
        <v>6</v>
      </c>
      <c r="J14" s="2">
        <v>7</v>
      </c>
      <c r="K14" s="2" t="s">
        <v>38</v>
      </c>
      <c r="L14" s="2" t="s">
        <v>26</v>
      </c>
      <c r="M14" s="2" t="s">
        <v>27</v>
      </c>
      <c r="N14" s="2" t="s">
        <v>64</v>
      </c>
      <c r="O14" s="2" t="s">
        <v>29</v>
      </c>
      <c r="P14" s="2" t="s">
        <v>41</v>
      </c>
      <c r="Q14" s="2" t="s">
        <v>31</v>
      </c>
      <c r="R14" s="2" t="s">
        <v>32</v>
      </c>
      <c r="S14" s="2" t="s">
        <v>66</v>
      </c>
      <c r="T14" s="2" t="s">
        <v>43</v>
      </c>
      <c r="U14" s="2" t="s">
        <v>34</v>
      </c>
      <c r="V14" s="2" t="s">
        <v>35</v>
      </c>
      <c r="W14" s="2" t="s">
        <v>59</v>
      </c>
      <c r="X14" s="2" t="s">
        <v>58</v>
      </c>
      <c r="Y14" s="2" t="str" cm="1">
        <f t="array" ref="Y14">_xlfn.IFS(R14="Equity Market",T14,R14="Mutual Fund",U14,R14="Government Bonds",V14,R14="Fixed Deposits",W14)</f>
        <v>Better Returns</v>
      </c>
    </row>
    <row r="15" spans="1:27" x14ac:dyDescent="0.3">
      <c r="A15" s="2" t="s">
        <v>24</v>
      </c>
      <c r="B15" s="2">
        <v>28</v>
      </c>
      <c r="C15" s="2" t="s">
        <v>25</v>
      </c>
      <c r="D15" s="2">
        <v>2</v>
      </c>
      <c r="E15" s="2">
        <v>3</v>
      </c>
      <c r="F15" s="2">
        <v>7</v>
      </c>
      <c r="G15" s="2">
        <v>4</v>
      </c>
      <c r="H15" s="2">
        <v>5</v>
      </c>
      <c r="I15" s="2">
        <v>1</v>
      </c>
      <c r="J15" s="2">
        <v>6</v>
      </c>
      <c r="K15" s="2" t="s">
        <v>25</v>
      </c>
      <c r="L15" s="2" t="s">
        <v>26</v>
      </c>
      <c r="M15" s="2" t="s">
        <v>27</v>
      </c>
      <c r="N15" s="2" t="s">
        <v>28</v>
      </c>
      <c r="O15" s="2" t="s">
        <v>29</v>
      </c>
      <c r="P15" s="2" t="s">
        <v>30</v>
      </c>
      <c r="Q15" s="2" t="s">
        <v>31</v>
      </c>
      <c r="R15" s="2" t="s">
        <v>32</v>
      </c>
      <c r="S15" s="2" t="s">
        <v>33</v>
      </c>
      <c r="T15" s="2" t="s">
        <v>27</v>
      </c>
      <c r="U15" s="2" t="s">
        <v>56</v>
      </c>
      <c r="V15" s="2" t="s">
        <v>51</v>
      </c>
      <c r="W15" s="2" t="s">
        <v>59</v>
      </c>
      <c r="X15" s="2" t="s">
        <v>37</v>
      </c>
      <c r="Y15" s="2" t="str" cm="1">
        <f t="array" ref="Y15">_xlfn.IFS(R15="Equity Market",T15,R15="Mutual Fund",U15,R15="Government Bonds",V15,R15="Fixed Deposits",W15)</f>
        <v>Fund Diversification</v>
      </c>
    </row>
    <row r="16" spans="1:27" x14ac:dyDescent="0.3">
      <c r="A16" s="2" t="s">
        <v>24</v>
      </c>
      <c r="B16" s="2">
        <v>25</v>
      </c>
      <c r="C16" s="2" t="s">
        <v>25</v>
      </c>
      <c r="D16" s="2">
        <v>2</v>
      </c>
      <c r="E16" s="2">
        <v>3</v>
      </c>
      <c r="F16" s="2">
        <v>7</v>
      </c>
      <c r="G16" s="2">
        <v>5</v>
      </c>
      <c r="H16" s="2">
        <v>4</v>
      </c>
      <c r="I16" s="2">
        <v>1</v>
      </c>
      <c r="J16" s="2">
        <v>6</v>
      </c>
      <c r="K16" s="2" t="s">
        <v>25</v>
      </c>
      <c r="L16" s="2" t="s">
        <v>26</v>
      </c>
      <c r="M16" s="2" t="s">
        <v>27</v>
      </c>
      <c r="N16" s="2" t="s">
        <v>28</v>
      </c>
      <c r="O16" s="2" t="s">
        <v>29</v>
      </c>
      <c r="P16" s="2" t="s">
        <v>30</v>
      </c>
      <c r="Q16" s="2" t="s">
        <v>31</v>
      </c>
      <c r="R16" s="2" t="s">
        <v>65</v>
      </c>
      <c r="S16" s="2" t="s">
        <v>42</v>
      </c>
      <c r="T16" s="2" t="s">
        <v>43</v>
      </c>
      <c r="U16" s="2" t="s">
        <v>34</v>
      </c>
      <c r="V16" s="2" t="s">
        <v>51</v>
      </c>
      <c r="W16" s="2" t="s">
        <v>59</v>
      </c>
      <c r="X16" s="2" t="s">
        <v>45</v>
      </c>
      <c r="Y16" s="2" t="str" cm="1">
        <f t="array" ref="Y16">_xlfn.IFS(R16="Equity Market",T16,R16="Mutual Fund",U16,R16="Government Bonds",V16,R16="Fixed Deposits",W16)</f>
        <v>Risk Free</v>
      </c>
    </row>
    <row r="17" spans="1:25" x14ac:dyDescent="0.3">
      <c r="A17" s="2" t="s">
        <v>46</v>
      </c>
      <c r="B17" s="2">
        <v>27</v>
      </c>
      <c r="C17" s="2" t="s">
        <v>25</v>
      </c>
      <c r="D17" s="2">
        <v>2</v>
      </c>
      <c r="E17" s="2">
        <v>3</v>
      </c>
      <c r="F17" s="2">
        <v>7</v>
      </c>
      <c r="G17" s="2">
        <v>5</v>
      </c>
      <c r="H17" s="2">
        <v>4</v>
      </c>
      <c r="I17" s="2">
        <v>1</v>
      </c>
      <c r="J17" s="2">
        <v>6</v>
      </c>
      <c r="K17" s="2" t="s">
        <v>25</v>
      </c>
      <c r="L17" s="2" t="s">
        <v>26</v>
      </c>
      <c r="M17" s="2" t="s">
        <v>27</v>
      </c>
      <c r="N17" s="2" t="s">
        <v>28</v>
      </c>
      <c r="O17" s="2" t="s">
        <v>29</v>
      </c>
      <c r="P17" s="2" t="s">
        <v>30</v>
      </c>
      <c r="Q17" s="2" t="s">
        <v>31</v>
      </c>
      <c r="R17" s="2" t="s">
        <v>32</v>
      </c>
      <c r="S17" s="2" t="s">
        <v>42</v>
      </c>
      <c r="T17" s="2" t="s">
        <v>27</v>
      </c>
      <c r="U17" s="2" t="s">
        <v>56</v>
      </c>
      <c r="V17" s="2" t="s">
        <v>51</v>
      </c>
      <c r="W17" s="2" t="s">
        <v>59</v>
      </c>
      <c r="X17" s="2" t="s">
        <v>37</v>
      </c>
      <c r="Y17" s="2" t="str" cm="1">
        <f t="array" ref="Y17">_xlfn.IFS(R17="Equity Market",T17,R17="Mutual Fund",U17,R17="Government Bonds",V17,R17="Fixed Deposits",W17)</f>
        <v>Fund Diversification</v>
      </c>
    </row>
    <row r="18" spans="1:25" x14ac:dyDescent="0.3">
      <c r="A18" s="2" t="s">
        <v>24</v>
      </c>
      <c r="B18" s="2">
        <v>28</v>
      </c>
      <c r="C18" s="2" t="s">
        <v>25</v>
      </c>
      <c r="D18" s="2">
        <v>3</v>
      </c>
      <c r="E18" s="2">
        <v>2</v>
      </c>
      <c r="F18" s="2">
        <v>7</v>
      </c>
      <c r="G18" s="2">
        <v>5</v>
      </c>
      <c r="H18" s="2">
        <v>4</v>
      </c>
      <c r="I18" s="2">
        <v>1</v>
      </c>
      <c r="J18" s="2">
        <v>6</v>
      </c>
      <c r="K18" s="2" t="s">
        <v>25</v>
      </c>
      <c r="L18" s="2" t="s">
        <v>60</v>
      </c>
      <c r="M18" s="2" t="s">
        <v>63</v>
      </c>
      <c r="N18" s="2" t="s">
        <v>28</v>
      </c>
      <c r="O18" s="2" t="s">
        <v>29</v>
      </c>
      <c r="P18" s="2" t="s">
        <v>30</v>
      </c>
      <c r="Q18" s="2" t="s">
        <v>31</v>
      </c>
      <c r="R18" s="2" t="s">
        <v>65</v>
      </c>
      <c r="S18" s="2" t="s">
        <v>42</v>
      </c>
      <c r="T18" s="2" t="s">
        <v>27</v>
      </c>
      <c r="U18" s="2" t="s">
        <v>56</v>
      </c>
      <c r="V18" s="2" t="s">
        <v>51</v>
      </c>
      <c r="W18" s="2" t="s">
        <v>59</v>
      </c>
      <c r="X18" s="2" t="s">
        <v>52</v>
      </c>
      <c r="Y18" s="2" t="str" cm="1">
        <f t="array" ref="Y18">_xlfn.IFS(R18="Equity Market",T18,R18="Mutual Fund",U18,R18="Government Bonds",V18,R18="Fixed Deposits",W18)</f>
        <v>Risk Free</v>
      </c>
    </row>
    <row r="19" spans="1:25" x14ac:dyDescent="0.3">
      <c r="A19" s="2" t="s">
        <v>46</v>
      </c>
      <c r="B19" s="2">
        <v>27</v>
      </c>
      <c r="C19" s="2" t="s">
        <v>25</v>
      </c>
      <c r="D19" s="2">
        <v>3</v>
      </c>
      <c r="E19" s="2">
        <v>2</v>
      </c>
      <c r="F19" s="2">
        <v>7</v>
      </c>
      <c r="G19" s="2">
        <v>4</v>
      </c>
      <c r="H19" s="2">
        <v>5</v>
      </c>
      <c r="I19" s="2">
        <v>1</v>
      </c>
      <c r="J19" s="2">
        <v>6</v>
      </c>
      <c r="K19" s="2" t="s">
        <v>25</v>
      </c>
      <c r="L19" s="2" t="s">
        <v>26</v>
      </c>
      <c r="M19" s="2" t="s">
        <v>27</v>
      </c>
      <c r="N19" s="2" t="s">
        <v>28</v>
      </c>
      <c r="O19" s="2" t="s">
        <v>29</v>
      </c>
      <c r="P19" s="2" t="s">
        <v>30</v>
      </c>
      <c r="Q19" s="2" t="s">
        <v>31</v>
      </c>
      <c r="R19" s="2" t="s">
        <v>32</v>
      </c>
      <c r="S19" s="2" t="s">
        <v>33</v>
      </c>
      <c r="T19" s="2" t="s">
        <v>27</v>
      </c>
      <c r="U19" s="2" t="s">
        <v>34</v>
      </c>
      <c r="V19" s="2" t="s">
        <v>51</v>
      </c>
      <c r="W19" s="2" t="s">
        <v>59</v>
      </c>
      <c r="X19" s="2" t="s">
        <v>45</v>
      </c>
      <c r="Y19" s="2" t="str" cm="1">
        <f t="array" ref="Y19">_xlfn.IFS(R19="Equity Market",T19,R19="Mutual Fund",U19,R19="Government Bonds",V19,R19="Fixed Deposits",W19)</f>
        <v>Better Returns</v>
      </c>
    </row>
    <row r="20" spans="1:25" x14ac:dyDescent="0.3">
      <c r="A20" s="2" t="s">
        <v>46</v>
      </c>
      <c r="B20" s="2">
        <v>29</v>
      </c>
      <c r="C20" s="2" t="s">
        <v>25</v>
      </c>
      <c r="D20" s="2">
        <v>3</v>
      </c>
      <c r="E20" s="2">
        <v>2</v>
      </c>
      <c r="F20" s="2">
        <v>7</v>
      </c>
      <c r="G20" s="2">
        <v>4</v>
      </c>
      <c r="H20" s="2">
        <v>5</v>
      </c>
      <c r="I20" s="2">
        <v>1</v>
      </c>
      <c r="J20" s="2">
        <v>6</v>
      </c>
      <c r="K20" s="2" t="s">
        <v>25</v>
      </c>
      <c r="L20" s="2" t="s">
        <v>60</v>
      </c>
      <c r="M20" s="2" t="s">
        <v>27</v>
      </c>
      <c r="N20" s="2" t="s">
        <v>28</v>
      </c>
      <c r="O20" s="2" t="s">
        <v>29</v>
      </c>
      <c r="P20" s="2" t="s">
        <v>30</v>
      </c>
      <c r="Q20" s="2" t="s">
        <v>31</v>
      </c>
      <c r="R20" s="2" t="s">
        <v>32</v>
      </c>
      <c r="S20" s="2" t="s">
        <v>33</v>
      </c>
      <c r="T20" s="2" t="s">
        <v>27</v>
      </c>
      <c r="U20" s="2" t="s">
        <v>34</v>
      </c>
      <c r="V20" s="2" t="s">
        <v>51</v>
      </c>
      <c r="W20" s="2" t="s">
        <v>59</v>
      </c>
      <c r="X20" s="2" t="s">
        <v>37</v>
      </c>
      <c r="Y20" s="2" t="str" cm="1">
        <f t="array" ref="Y20">_xlfn.IFS(R20="Equity Market",T20,R20="Mutual Fund",U20,R20="Government Bonds",V20,R20="Fixed Deposits",W20)</f>
        <v>Better Returns</v>
      </c>
    </row>
    <row r="21" spans="1:25" x14ac:dyDescent="0.3">
      <c r="A21" s="2" t="s">
        <v>46</v>
      </c>
      <c r="B21" s="2">
        <v>26</v>
      </c>
      <c r="C21" s="2" t="s">
        <v>25</v>
      </c>
      <c r="D21" s="2">
        <v>3</v>
      </c>
      <c r="E21" s="2">
        <v>4</v>
      </c>
      <c r="F21" s="2">
        <v>6</v>
      </c>
      <c r="G21" s="2">
        <v>5</v>
      </c>
      <c r="H21" s="2">
        <v>1</v>
      </c>
      <c r="I21" s="2">
        <v>2</v>
      </c>
      <c r="J21" s="2">
        <v>7</v>
      </c>
      <c r="K21" s="2" t="s">
        <v>25</v>
      </c>
      <c r="L21" s="2" t="s">
        <v>60</v>
      </c>
      <c r="M21" s="2" t="s">
        <v>27</v>
      </c>
      <c r="N21" s="2" t="s">
        <v>28</v>
      </c>
      <c r="O21" s="2" t="s">
        <v>47</v>
      </c>
      <c r="P21" s="2" t="s">
        <v>30</v>
      </c>
      <c r="Q21" s="2" t="s">
        <v>31</v>
      </c>
      <c r="R21" s="2" t="s">
        <v>65</v>
      </c>
      <c r="S21" s="2" t="s">
        <v>42</v>
      </c>
      <c r="T21" s="2" t="s">
        <v>27</v>
      </c>
      <c r="U21" s="2" t="s">
        <v>56</v>
      </c>
      <c r="V21" s="2" t="s">
        <v>51</v>
      </c>
      <c r="W21" s="2" t="s">
        <v>59</v>
      </c>
      <c r="X21" s="2" t="s">
        <v>37</v>
      </c>
      <c r="Y21" s="2" t="str" cm="1">
        <f t="array" ref="Y21">_xlfn.IFS(R21="Equity Market",T21,R21="Mutual Fund",U21,R21="Government Bonds",V21,R21="Fixed Deposits",W21)</f>
        <v>Risk Free</v>
      </c>
    </row>
    <row r="22" spans="1:25" x14ac:dyDescent="0.3">
      <c r="A22" s="2" t="s">
        <v>46</v>
      </c>
      <c r="B22" s="2">
        <v>29</v>
      </c>
      <c r="C22" s="2" t="s">
        <v>25</v>
      </c>
      <c r="D22" s="2">
        <v>2</v>
      </c>
      <c r="E22" s="2">
        <v>4</v>
      </c>
      <c r="F22" s="2">
        <v>7</v>
      </c>
      <c r="G22" s="2">
        <v>5</v>
      </c>
      <c r="H22" s="2">
        <v>3</v>
      </c>
      <c r="I22" s="2">
        <v>1</v>
      </c>
      <c r="J22" s="2">
        <v>6</v>
      </c>
      <c r="K22" s="2" t="s">
        <v>25</v>
      </c>
      <c r="L22" s="2" t="s">
        <v>26</v>
      </c>
      <c r="M22" s="2" t="s">
        <v>63</v>
      </c>
      <c r="N22" s="2" t="s">
        <v>28</v>
      </c>
      <c r="O22" s="2" t="s">
        <v>47</v>
      </c>
      <c r="P22" s="2" t="s">
        <v>41</v>
      </c>
      <c r="Q22" s="2" t="s">
        <v>31</v>
      </c>
      <c r="R22" s="2" t="s">
        <v>32</v>
      </c>
      <c r="S22" s="2" t="s">
        <v>33</v>
      </c>
      <c r="T22" s="2" t="s">
        <v>27</v>
      </c>
      <c r="U22" s="2" t="s">
        <v>34</v>
      </c>
      <c r="V22" s="2" t="s">
        <v>51</v>
      </c>
      <c r="W22" s="2" t="s">
        <v>36</v>
      </c>
      <c r="X22" s="2" t="s">
        <v>45</v>
      </c>
      <c r="Y22" s="2" t="str" cm="1">
        <f t="array" ref="Y22">_xlfn.IFS(R22="Equity Market",T22,R22="Mutual Fund",U22,R22="Government Bonds",V22,R22="Fixed Deposits",W22)</f>
        <v>Better Returns</v>
      </c>
    </row>
    <row r="23" spans="1:25" x14ac:dyDescent="0.3">
      <c r="A23" s="2" t="s">
        <v>24</v>
      </c>
      <c r="B23" s="2">
        <v>24</v>
      </c>
      <c r="C23" s="2" t="s">
        <v>25</v>
      </c>
      <c r="D23" s="2">
        <v>2</v>
      </c>
      <c r="E23" s="2">
        <v>4</v>
      </c>
      <c r="F23" s="2">
        <v>5</v>
      </c>
      <c r="G23" s="2">
        <v>6</v>
      </c>
      <c r="H23" s="2">
        <v>3</v>
      </c>
      <c r="I23" s="2">
        <v>1</v>
      </c>
      <c r="J23" s="2">
        <v>7</v>
      </c>
      <c r="K23" s="2" t="s">
        <v>25</v>
      </c>
      <c r="L23" s="2" t="s">
        <v>60</v>
      </c>
      <c r="M23" s="2" t="s">
        <v>27</v>
      </c>
      <c r="N23" s="2" t="s">
        <v>28</v>
      </c>
      <c r="O23" s="2" t="s">
        <v>47</v>
      </c>
      <c r="P23" s="2" t="s">
        <v>30</v>
      </c>
      <c r="Q23" s="2" t="s">
        <v>31</v>
      </c>
      <c r="R23" s="2" t="s">
        <v>49</v>
      </c>
      <c r="S23" s="2" t="s">
        <v>42</v>
      </c>
      <c r="T23" s="2" t="s">
        <v>27</v>
      </c>
      <c r="U23" s="2" t="s">
        <v>34</v>
      </c>
      <c r="V23" s="2" t="s">
        <v>51</v>
      </c>
      <c r="W23" s="2" t="s">
        <v>59</v>
      </c>
      <c r="X23" s="2" t="s">
        <v>37</v>
      </c>
      <c r="Y23" s="2" t="s">
        <v>70</v>
      </c>
    </row>
    <row r="24" spans="1:25" x14ac:dyDescent="0.3">
      <c r="A24" s="2" t="s">
        <v>46</v>
      </c>
      <c r="B24" s="2">
        <v>27</v>
      </c>
      <c r="C24" s="2" t="s">
        <v>25</v>
      </c>
      <c r="D24" s="2">
        <v>3</v>
      </c>
      <c r="E24" s="2">
        <v>4</v>
      </c>
      <c r="F24" s="2">
        <v>6</v>
      </c>
      <c r="G24" s="2">
        <v>5</v>
      </c>
      <c r="H24" s="2">
        <v>2</v>
      </c>
      <c r="I24" s="2">
        <v>1</v>
      </c>
      <c r="J24" s="2">
        <v>7</v>
      </c>
      <c r="K24" s="2" t="s">
        <v>25</v>
      </c>
      <c r="L24" s="2" t="s">
        <v>26</v>
      </c>
      <c r="M24" s="2" t="s">
        <v>27</v>
      </c>
      <c r="N24" s="2" t="s">
        <v>28</v>
      </c>
      <c r="O24" s="2" t="s">
        <v>47</v>
      </c>
      <c r="P24" s="2" t="s">
        <v>30</v>
      </c>
      <c r="Q24" s="2" t="s">
        <v>31</v>
      </c>
      <c r="R24" s="2" t="s">
        <v>32</v>
      </c>
      <c r="S24" s="2" t="s">
        <v>33</v>
      </c>
      <c r="T24" s="2" t="s">
        <v>27</v>
      </c>
      <c r="U24" s="2" t="s">
        <v>34</v>
      </c>
      <c r="V24" s="2" t="s">
        <v>51</v>
      </c>
      <c r="W24" s="2" t="s">
        <v>59</v>
      </c>
      <c r="X24" s="2" t="s">
        <v>45</v>
      </c>
      <c r="Y24" s="2" t="str" cm="1">
        <f t="array" ref="Y24">_xlfn.IFS(R24="Equity Market",T24,R24="Mutual Fund",U24,R24="Government Bonds",V24,R24="Fixed Deposits",W24)</f>
        <v>Better Returns</v>
      </c>
    </row>
    <row r="25" spans="1:25" x14ac:dyDescent="0.3">
      <c r="A25" s="2" t="s">
        <v>46</v>
      </c>
      <c r="B25" s="2">
        <v>25</v>
      </c>
      <c r="C25" s="2" t="s">
        <v>25</v>
      </c>
      <c r="D25" s="2">
        <v>2</v>
      </c>
      <c r="E25" s="2">
        <v>4</v>
      </c>
      <c r="F25" s="2">
        <v>6</v>
      </c>
      <c r="G25" s="2">
        <v>5</v>
      </c>
      <c r="H25" s="2">
        <v>3</v>
      </c>
      <c r="I25" s="2">
        <v>1</v>
      </c>
      <c r="J25" s="2">
        <v>7</v>
      </c>
      <c r="K25" s="2" t="s">
        <v>25</v>
      </c>
      <c r="L25" s="2" t="s">
        <v>60</v>
      </c>
      <c r="M25" s="2" t="s">
        <v>63</v>
      </c>
      <c r="N25" s="2" t="s">
        <v>64</v>
      </c>
      <c r="O25" s="2" t="s">
        <v>47</v>
      </c>
      <c r="P25" s="2" t="s">
        <v>41</v>
      </c>
      <c r="Q25" s="2" t="s">
        <v>31</v>
      </c>
      <c r="R25" s="2" t="s">
        <v>67</v>
      </c>
      <c r="S25" s="2" t="s">
        <v>42</v>
      </c>
      <c r="T25" s="2" t="s">
        <v>62</v>
      </c>
      <c r="U25" s="2" t="s">
        <v>34</v>
      </c>
      <c r="V25" s="2" t="s">
        <v>51</v>
      </c>
      <c r="W25" s="2" t="s">
        <v>59</v>
      </c>
      <c r="X25" s="2" t="s">
        <v>45</v>
      </c>
      <c r="Y25" s="2" t="s">
        <v>70</v>
      </c>
    </row>
    <row r="26" spans="1:25" x14ac:dyDescent="0.3">
      <c r="A26" s="2" t="s">
        <v>24</v>
      </c>
      <c r="B26" s="2">
        <v>26</v>
      </c>
      <c r="C26" s="2" t="s">
        <v>25</v>
      </c>
      <c r="D26" s="2">
        <v>2</v>
      </c>
      <c r="E26" s="2">
        <v>3</v>
      </c>
      <c r="F26" s="2">
        <v>7</v>
      </c>
      <c r="G26" s="2">
        <v>5</v>
      </c>
      <c r="H26" s="2">
        <v>4</v>
      </c>
      <c r="I26" s="2">
        <v>1</v>
      </c>
      <c r="J26" s="2">
        <v>6</v>
      </c>
      <c r="K26" s="2" t="s">
        <v>25</v>
      </c>
      <c r="L26" s="2" t="s">
        <v>26</v>
      </c>
      <c r="M26" s="2" t="s">
        <v>27</v>
      </c>
      <c r="N26" s="2" t="s">
        <v>28</v>
      </c>
      <c r="O26" s="2" t="s">
        <v>47</v>
      </c>
      <c r="P26" s="2" t="s">
        <v>30</v>
      </c>
      <c r="Q26" s="2" t="s">
        <v>61</v>
      </c>
      <c r="R26" s="2" t="s">
        <v>67</v>
      </c>
      <c r="S26" s="2" t="s">
        <v>33</v>
      </c>
      <c r="T26" s="2" t="s">
        <v>27</v>
      </c>
      <c r="U26" s="2" t="s">
        <v>34</v>
      </c>
      <c r="V26" s="2" t="s">
        <v>51</v>
      </c>
      <c r="W26" s="2" t="s">
        <v>59</v>
      </c>
      <c r="X26" s="2" t="s">
        <v>37</v>
      </c>
      <c r="Y26" s="2" t="s">
        <v>70</v>
      </c>
    </row>
    <row r="27" spans="1:25" x14ac:dyDescent="0.3">
      <c r="A27" s="2" t="s">
        <v>24</v>
      </c>
      <c r="B27" s="2">
        <v>32</v>
      </c>
      <c r="C27" s="2" t="s">
        <v>25</v>
      </c>
      <c r="D27" s="2">
        <v>3</v>
      </c>
      <c r="E27" s="2">
        <v>4</v>
      </c>
      <c r="F27" s="2">
        <v>7</v>
      </c>
      <c r="G27" s="2">
        <v>5</v>
      </c>
      <c r="H27" s="2">
        <v>1</v>
      </c>
      <c r="I27" s="2">
        <v>2</v>
      </c>
      <c r="J27" s="2">
        <v>6</v>
      </c>
      <c r="K27" s="2" t="s">
        <v>25</v>
      </c>
      <c r="L27" s="2" t="s">
        <v>60</v>
      </c>
      <c r="M27" s="2" t="s">
        <v>63</v>
      </c>
      <c r="N27" s="2" t="s">
        <v>28</v>
      </c>
      <c r="O27" s="2" t="s">
        <v>47</v>
      </c>
      <c r="P27" s="2" t="s">
        <v>30</v>
      </c>
      <c r="Q27" s="2" t="s">
        <v>31</v>
      </c>
      <c r="R27" s="2" t="s">
        <v>32</v>
      </c>
      <c r="S27" s="2" t="s">
        <v>33</v>
      </c>
      <c r="T27" s="2" t="s">
        <v>27</v>
      </c>
      <c r="U27" s="2" t="s">
        <v>34</v>
      </c>
      <c r="V27" s="2" t="s">
        <v>51</v>
      </c>
      <c r="W27" s="2" t="s">
        <v>36</v>
      </c>
      <c r="X27" s="2" t="s">
        <v>45</v>
      </c>
      <c r="Y27" s="2" t="str" cm="1">
        <f t="array" ref="Y27">_xlfn.IFS(R27="Equity Market",T27,R27="Mutual Fund",U27,R27="Government Bonds",V27,R27="Fixed Deposits",W27)</f>
        <v>Better Returns</v>
      </c>
    </row>
    <row r="28" spans="1:25" x14ac:dyDescent="0.3">
      <c r="A28" s="2" t="s">
        <v>46</v>
      </c>
      <c r="B28" s="2">
        <v>26</v>
      </c>
      <c r="C28" s="2" t="s">
        <v>25</v>
      </c>
      <c r="D28" s="2">
        <v>3</v>
      </c>
      <c r="E28" s="2">
        <v>4</v>
      </c>
      <c r="F28" s="2">
        <v>6</v>
      </c>
      <c r="G28" s="2">
        <v>5</v>
      </c>
      <c r="H28" s="2">
        <v>1</v>
      </c>
      <c r="I28" s="2">
        <v>2</v>
      </c>
      <c r="J28" s="2">
        <v>7</v>
      </c>
      <c r="K28" s="2" t="s">
        <v>25</v>
      </c>
      <c r="L28" s="2" t="s">
        <v>26</v>
      </c>
      <c r="M28" s="2" t="s">
        <v>27</v>
      </c>
      <c r="N28" s="2" t="s">
        <v>28</v>
      </c>
      <c r="O28" s="2" t="s">
        <v>47</v>
      </c>
      <c r="P28" s="2" t="s">
        <v>30</v>
      </c>
      <c r="Q28" s="2" t="s">
        <v>31</v>
      </c>
      <c r="R28" s="2" t="s">
        <v>32</v>
      </c>
      <c r="S28" s="2" t="s">
        <v>33</v>
      </c>
      <c r="T28" s="2" t="s">
        <v>43</v>
      </c>
      <c r="U28" s="2" t="s">
        <v>56</v>
      </c>
      <c r="V28" s="2" t="s">
        <v>51</v>
      </c>
      <c r="W28" s="2" t="s">
        <v>36</v>
      </c>
      <c r="X28" s="2" t="s">
        <v>45</v>
      </c>
      <c r="Y28" s="2" t="str" cm="1">
        <f t="array" ref="Y28">_xlfn.IFS(R28="Equity Market",T28,R28="Mutual Fund",U28,R28="Government Bonds",V28,R28="Fixed Deposits",W28)</f>
        <v>Fund Diversification</v>
      </c>
    </row>
    <row r="29" spans="1:25" x14ac:dyDescent="0.3">
      <c r="A29" s="2" t="s">
        <v>46</v>
      </c>
      <c r="B29" s="2">
        <v>31</v>
      </c>
      <c r="C29" s="2" t="s">
        <v>25</v>
      </c>
      <c r="D29" s="2">
        <v>2</v>
      </c>
      <c r="E29" s="2">
        <v>3</v>
      </c>
      <c r="F29" s="2">
        <v>7</v>
      </c>
      <c r="G29" s="2">
        <v>6</v>
      </c>
      <c r="H29" s="2">
        <v>4</v>
      </c>
      <c r="I29" s="2">
        <v>1</v>
      </c>
      <c r="J29" s="2">
        <v>5</v>
      </c>
      <c r="K29" s="2" t="s">
        <v>25</v>
      </c>
      <c r="L29" s="2" t="s">
        <v>60</v>
      </c>
      <c r="M29" s="2" t="s">
        <v>63</v>
      </c>
      <c r="N29" s="2" t="s">
        <v>64</v>
      </c>
      <c r="O29" s="2" t="s">
        <v>29</v>
      </c>
      <c r="P29" s="2" t="s">
        <v>30</v>
      </c>
      <c r="Q29" s="2" t="s">
        <v>31</v>
      </c>
      <c r="R29" s="2" t="s">
        <v>65</v>
      </c>
      <c r="S29" s="2" t="s">
        <v>42</v>
      </c>
      <c r="T29" s="2" t="s">
        <v>27</v>
      </c>
      <c r="U29" s="2" t="s">
        <v>56</v>
      </c>
      <c r="V29" s="2" t="s">
        <v>35</v>
      </c>
      <c r="W29" s="2" t="s">
        <v>36</v>
      </c>
      <c r="X29" s="2" t="s">
        <v>52</v>
      </c>
      <c r="Y29" s="2" t="str" cm="1">
        <f t="array" ref="Y29">_xlfn.IFS(R29="Equity Market",T29,R29="Mutual Fund",U29,R29="Government Bonds",V29,R29="Fixed Deposits",W29)</f>
        <v>Fixed Returns</v>
      </c>
    </row>
    <row r="30" spans="1:25" x14ac:dyDescent="0.3">
      <c r="A30" s="2" t="s">
        <v>46</v>
      </c>
      <c r="B30" s="2">
        <v>29</v>
      </c>
      <c r="C30" s="2" t="s">
        <v>25</v>
      </c>
      <c r="D30" s="2">
        <v>2</v>
      </c>
      <c r="E30" s="2">
        <v>3</v>
      </c>
      <c r="F30" s="2">
        <v>6</v>
      </c>
      <c r="G30" s="2">
        <v>5</v>
      </c>
      <c r="H30" s="2">
        <v>1</v>
      </c>
      <c r="I30" s="2">
        <v>4</v>
      </c>
      <c r="J30" s="2">
        <v>7</v>
      </c>
      <c r="K30" s="2" t="s">
        <v>25</v>
      </c>
      <c r="L30" s="2" t="s">
        <v>26</v>
      </c>
      <c r="M30" s="2" t="s">
        <v>27</v>
      </c>
      <c r="N30" s="2" t="s">
        <v>28</v>
      </c>
      <c r="O30" s="2" t="s">
        <v>29</v>
      </c>
      <c r="P30" s="2" t="s">
        <v>30</v>
      </c>
      <c r="Q30" s="2" t="s">
        <v>31</v>
      </c>
      <c r="R30" s="2" t="s">
        <v>49</v>
      </c>
      <c r="S30" s="2" t="s">
        <v>33</v>
      </c>
      <c r="T30" s="2" t="s">
        <v>27</v>
      </c>
      <c r="U30" s="2" t="s">
        <v>34</v>
      </c>
      <c r="V30" s="2" t="s">
        <v>51</v>
      </c>
      <c r="W30" s="2" t="s">
        <v>59</v>
      </c>
      <c r="X30" s="2" t="s">
        <v>52</v>
      </c>
      <c r="Y30" s="2" t="s">
        <v>70</v>
      </c>
    </row>
    <row r="31" spans="1:25" x14ac:dyDescent="0.3">
      <c r="A31" s="2" t="s">
        <v>24</v>
      </c>
      <c r="B31" s="2">
        <v>34</v>
      </c>
      <c r="C31" s="2" t="s">
        <v>25</v>
      </c>
      <c r="D31" s="2">
        <v>5</v>
      </c>
      <c r="E31" s="2">
        <v>4</v>
      </c>
      <c r="F31" s="2">
        <v>3</v>
      </c>
      <c r="G31" s="2">
        <v>2</v>
      </c>
      <c r="H31" s="2">
        <v>7</v>
      </c>
      <c r="I31" s="2">
        <v>1</v>
      </c>
      <c r="J31" s="2">
        <v>6</v>
      </c>
      <c r="K31" s="2" t="s">
        <v>25</v>
      </c>
      <c r="L31" s="2" t="s">
        <v>26</v>
      </c>
      <c r="M31" s="2" t="s">
        <v>53</v>
      </c>
      <c r="N31" s="2" t="s">
        <v>26</v>
      </c>
      <c r="O31" s="2" t="s">
        <v>47</v>
      </c>
      <c r="P31" s="2" t="s">
        <v>30</v>
      </c>
      <c r="Q31" s="2" t="s">
        <v>55</v>
      </c>
      <c r="R31" s="2" t="s">
        <v>32</v>
      </c>
      <c r="S31" s="2" t="s">
        <v>33</v>
      </c>
      <c r="T31" s="2" t="s">
        <v>27</v>
      </c>
      <c r="U31" s="2" t="s">
        <v>50</v>
      </c>
      <c r="V31" s="2" t="s">
        <v>35</v>
      </c>
      <c r="W31" s="2" t="s">
        <v>36</v>
      </c>
      <c r="X31" s="2" t="s">
        <v>37</v>
      </c>
      <c r="Y31" s="2" t="str" cm="1">
        <f t="array" ref="Y31">_xlfn.IFS(R31="Equity Market",T31,R31="Mutual Fund",U31,R31="Government Bonds",V31,R31="Fixed Deposits",W31)</f>
        <v>Tax Benefits</v>
      </c>
    </row>
    <row r="32" spans="1:25" x14ac:dyDescent="0.3">
      <c r="A32" s="2" t="s">
        <v>46</v>
      </c>
      <c r="B32" s="2">
        <v>27</v>
      </c>
      <c r="C32" s="2" t="s">
        <v>25</v>
      </c>
      <c r="D32" s="2">
        <v>4</v>
      </c>
      <c r="E32" s="2">
        <v>5</v>
      </c>
      <c r="F32" s="2">
        <v>1</v>
      </c>
      <c r="G32" s="2">
        <v>2</v>
      </c>
      <c r="H32" s="2">
        <v>7</v>
      </c>
      <c r="I32" s="2">
        <v>3</v>
      </c>
      <c r="J32" s="2">
        <v>6</v>
      </c>
      <c r="K32" s="2" t="s">
        <v>38</v>
      </c>
      <c r="L32" s="2" t="s">
        <v>26</v>
      </c>
      <c r="M32" s="2" t="s">
        <v>63</v>
      </c>
      <c r="N32" s="2" t="s">
        <v>28</v>
      </c>
      <c r="O32" s="2" t="s">
        <v>29</v>
      </c>
      <c r="P32" s="2" t="s">
        <v>30</v>
      </c>
      <c r="Q32" s="2" t="s">
        <v>55</v>
      </c>
      <c r="R32" s="2" t="s">
        <v>32</v>
      </c>
      <c r="S32" s="2" t="s">
        <v>66</v>
      </c>
      <c r="T32" s="2" t="s">
        <v>27</v>
      </c>
      <c r="U32" s="2" t="s">
        <v>50</v>
      </c>
      <c r="V32" s="2" t="s">
        <v>35</v>
      </c>
      <c r="W32" s="2" t="s">
        <v>36</v>
      </c>
      <c r="X32" s="2" t="s">
        <v>52</v>
      </c>
      <c r="Y32" s="2" t="str" cm="1">
        <f t="array" ref="Y32">_xlfn.IFS(R32="Equity Market",T32,R32="Mutual Fund",U32,R32="Government Bonds",V32,R32="Fixed Deposits",W32)</f>
        <v>Tax Benefits</v>
      </c>
    </row>
    <row r="33" spans="1:25" x14ac:dyDescent="0.3">
      <c r="A33" s="2" t="s">
        <v>24</v>
      </c>
      <c r="B33" s="2">
        <v>31</v>
      </c>
      <c r="C33" s="2" t="s">
        <v>25</v>
      </c>
      <c r="D33" s="2">
        <v>2</v>
      </c>
      <c r="E33" s="2">
        <v>4</v>
      </c>
      <c r="F33" s="2">
        <v>7</v>
      </c>
      <c r="G33" s="2">
        <v>6</v>
      </c>
      <c r="H33" s="2">
        <v>3</v>
      </c>
      <c r="I33" s="2">
        <v>1</v>
      </c>
      <c r="J33" s="2">
        <v>5</v>
      </c>
      <c r="K33" s="2" t="s">
        <v>25</v>
      </c>
      <c r="L33" s="2" t="s">
        <v>26</v>
      </c>
      <c r="M33" s="2" t="s">
        <v>27</v>
      </c>
      <c r="N33" s="2" t="s">
        <v>28</v>
      </c>
      <c r="O33" s="2" t="s">
        <v>47</v>
      </c>
      <c r="P33" s="2" t="s">
        <v>30</v>
      </c>
      <c r="Q33" s="2" t="s">
        <v>31</v>
      </c>
      <c r="R33" s="2" t="s">
        <v>65</v>
      </c>
      <c r="S33" s="2" t="s">
        <v>33</v>
      </c>
      <c r="T33" s="2" t="s">
        <v>27</v>
      </c>
      <c r="U33" s="2" t="s">
        <v>34</v>
      </c>
      <c r="V33" s="2" t="s">
        <v>51</v>
      </c>
      <c r="W33" s="2" t="s">
        <v>36</v>
      </c>
      <c r="X33" s="2" t="s">
        <v>45</v>
      </c>
      <c r="Y33" s="2" t="str" cm="1">
        <f t="array" ref="Y33">_xlfn.IFS(R33="Equity Market",T33,R33="Mutual Fund",U33,R33="Government Bonds",V33,R33="Fixed Deposits",W33)</f>
        <v>Fixed Returns</v>
      </c>
    </row>
    <row r="34" spans="1:25" x14ac:dyDescent="0.3">
      <c r="A34" s="2" t="s">
        <v>46</v>
      </c>
      <c r="B34" s="2">
        <v>27</v>
      </c>
      <c r="C34" s="2" t="s">
        <v>25</v>
      </c>
      <c r="D34" s="2">
        <v>2</v>
      </c>
      <c r="E34" s="2">
        <v>4</v>
      </c>
      <c r="F34" s="2">
        <v>7</v>
      </c>
      <c r="G34" s="2">
        <v>5</v>
      </c>
      <c r="H34" s="2">
        <v>1</v>
      </c>
      <c r="I34" s="2">
        <v>3</v>
      </c>
      <c r="J34" s="2">
        <v>6</v>
      </c>
      <c r="K34" s="2" t="s">
        <v>25</v>
      </c>
      <c r="L34" s="2" t="s">
        <v>26</v>
      </c>
      <c r="M34" s="2" t="s">
        <v>27</v>
      </c>
      <c r="N34" s="2" t="s">
        <v>28</v>
      </c>
      <c r="O34" s="2" t="s">
        <v>47</v>
      </c>
      <c r="P34" s="2" t="s">
        <v>30</v>
      </c>
      <c r="Q34" s="2" t="s">
        <v>61</v>
      </c>
      <c r="R34" s="2" t="s">
        <v>49</v>
      </c>
      <c r="S34" s="2" t="s">
        <v>42</v>
      </c>
      <c r="T34" s="2" t="s">
        <v>27</v>
      </c>
      <c r="U34" s="2" t="s">
        <v>56</v>
      </c>
      <c r="V34" s="2" t="s">
        <v>51</v>
      </c>
      <c r="W34" s="2" t="s">
        <v>36</v>
      </c>
      <c r="X34" s="2" t="s">
        <v>37</v>
      </c>
      <c r="Y34" s="2" t="s">
        <v>70</v>
      </c>
    </row>
    <row r="35" spans="1:25" x14ac:dyDescent="0.3">
      <c r="A35" s="2" t="s">
        <v>46</v>
      </c>
      <c r="B35" s="2">
        <v>26</v>
      </c>
      <c r="C35" s="2" t="s">
        <v>25</v>
      </c>
      <c r="D35" s="2">
        <v>2</v>
      </c>
      <c r="E35" s="2">
        <v>3</v>
      </c>
      <c r="F35" s="2">
        <v>6</v>
      </c>
      <c r="G35" s="2">
        <v>4</v>
      </c>
      <c r="H35" s="2">
        <v>1</v>
      </c>
      <c r="I35" s="2">
        <v>5</v>
      </c>
      <c r="J35" s="2">
        <v>7</v>
      </c>
      <c r="K35" s="2" t="s">
        <v>25</v>
      </c>
      <c r="L35" s="2" t="s">
        <v>26</v>
      </c>
      <c r="M35" s="2" t="s">
        <v>27</v>
      </c>
      <c r="N35" s="2" t="s">
        <v>26</v>
      </c>
      <c r="O35" s="2" t="s">
        <v>29</v>
      </c>
      <c r="P35" s="2" t="s">
        <v>30</v>
      </c>
      <c r="Q35" s="2" t="s">
        <v>31</v>
      </c>
      <c r="R35" s="2" t="s">
        <v>65</v>
      </c>
      <c r="S35" s="2" t="s">
        <v>66</v>
      </c>
      <c r="T35" s="2" t="s">
        <v>43</v>
      </c>
      <c r="U35" s="2" t="s">
        <v>34</v>
      </c>
      <c r="V35" s="2" t="s">
        <v>35</v>
      </c>
      <c r="W35" s="2" t="s">
        <v>59</v>
      </c>
      <c r="X35" s="2" t="s">
        <v>37</v>
      </c>
      <c r="Y35" s="2" t="str" cm="1">
        <f t="array" ref="Y35">_xlfn.IFS(R35="Equity Market",T35,R35="Mutual Fund",U35,R35="Government Bonds",V35,R35="Fixed Deposits",W35)</f>
        <v>Risk Free</v>
      </c>
    </row>
    <row r="36" spans="1:25" x14ac:dyDescent="0.3">
      <c r="A36" s="2" t="s">
        <v>46</v>
      </c>
      <c r="B36" s="2">
        <v>27</v>
      </c>
      <c r="C36" s="2" t="s">
        <v>25</v>
      </c>
      <c r="D36" s="2">
        <v>2</v>
      </c>
      <c r="E36" s="2">
        <v>3</v>
      </c>
      <c r="F36" s="2">
        <v>6</v>
      </c>
      <c r="G36" s="2">
        <v>5</v>
      </c>
      <c r="H36" s="2">
        <v>4</v>
      </c>
      <c r="I36" s="2">
        <v>1</v>
      </c>
      <c r="J36" s="2">
        <v>7</v>
      </c>
      <c r="K36" s="2" t="s">
        <v>25</v>
      </c>
      <c r="L36" s="2" t="s">
        <v>26</v>
      </c>
      <c r="M36" s="2" t="s">
        <v>27</v>
      </c>
      <c r="N36" s="2" t="s">
        <v>28</v>
      </c>
      <c r="O36" s="2" t="s">
        <v>29</v>
      </c>
      <c r="P36" s="2" t="s">
        <v>41</v>
      </c>
      <c r="Q36" s="2" t="s">
        <v>31</v>
      </c>
      <c r="R36" s="2" t="s">
        <v>32</v>
      </c>
      <c r="S36" s="2" t="s">
        <v>42</v>
      </c>
      <c r="T36" s="2" t="s">
        <v>27</v>
      </c>
      <c r="U36" s="2" t="s">
        <v>34</v>
      </c>
      <c r="V36" s="2" t="s">
        <v>35</v>
      </c>
      <c r="W36" s="2" t="s">
        <v>36</v>
      </c>
      <c r="X36" s="2" t="s">
        <v>45</v>
      </c>
      <c r="Y36" s="2" t="str" cm="1">
        <f t="array" ref="Y36">_xlfn.IFS(R36="Equity Market",T36,R36="Mutual Fund",U36,R36="Government Bonds",V36,R36="Fixed Deposits",W36)</f>
        <v>Better Returns</v>
      </c>
    </row>
    <row r="37" spans="1:25" x14ac:dyDescent="0.3">
      <c r="A37" s="2" t="s">
        <v>46</v>
      </c>
      <c r="B37" s="2">
        <v>30</v>
      </c>
      <c r="C37" s="2" t="s">
        <v>25</v>
      </c>
      <c r="D37" s="2">
        <v>1</v>
      </c>
      <c r="E37" s="2">
        <v>4</v>
      </c>
      <c r="F37" s="2">
        <v>6</v>
      </c>
      <c r="G37" s="2">
        <v>5</v>
      </c>
      <c r="H37" s="2">
        <v>3</v>
      </c>
      <c r="I37" s="2">
        <v>2</v>
      </c>
      <c r="J37" s="2">
        <v>7</v>
      </c>
      <c r="K37" s="2" t="s">
        <v>25</v>
      </c>
      <c r="L37" s="2" t="s">
        <v>60</v>
      </c>
      <c r="M37" s="2" t="s">
        <v>63</v>
      </c>
      <c r="N37" s="2" t="s">
        <v>28</v>
      </c>
      <c r="O37" s="2" t="s">
        <v>47</v>
      </c>
      <c r="P37" s="2" t="s">
        <v>30</v>
      </c>
      <c r="Q37" s="2" t="s">
        <v>31</v>
      </c>
      <c r="R37" s="2" t="s">
        <v>65</v>
      </c>
      <c r="S37" s="2" t="s">
        <v>42</v>
      </c>
      <c r="T37" s="2" t="s">
        <v>27</v>
      </c>
      <c r="U37" s="2" t="s">
        <v>34</v>
      </c>
      <c r="V37" s="2" t="s">
        <v>51</v>
      </c>
      <c r="W37" s="2" t="s">
        <v>36</v>
      </c>
      <c r="X37" s="2" t="s">
        <v>45</v>
      </c>
      <c r="Y37" s="2" t="str" cm="1">
        <f t="array" ref="Y37">_xlfn.IFS(R37="Equity Market",T37,R37="Mutual Fund",U37,R37="Government Bonds",V37,R37="Fixed Deposits",W37)</f>
        <v>Fixed Returns</v>
      </c>
    </row>
    <row r="38" spans="1:25" x14ac:dyDescent="0.3">
      <c r="A38" s="2" t="s">
        <v>46</v>
      </c>
      <c r="B38" s="2">
        <v>30</v>
      </c>
      <c r="C38" s="2" t="s">
        <v>25</v>
      </c>
      <c r="D38" s="2">
        <v>2</v>
      </c>
      <c r="E38" s="2">
        <v>4</v>
      </c>
      <c r="F38" s="2">
        <v>7</v>
      </c>
      <c r="G38" s="2">
        <v>5</v>
      </c>
      <c r="H38" s="2">
        <v>1</v>
      </c>
      <c r="I38" s="2">
        <v>3</v>
      </c>
      <c r="J38" s="2">
        <v>6</v>
      </c>
      <c r="K38" s="2" t="s">
        <v>25</v>
      </c>
      <c r="L38" s="2" t="s">
        <v>26</v>
      </c>
      <c r="M38" s="2" t="s">
        <v>27</v>
      </c>
      <c r="N38" s="2" t="s">
        <v>28</v>
      </c>
      <c r="O38" s="2" t="s">
        <v>29</v>
      </c>
      <c r="P38" s="2" t="s">
        <v>30</v>
      </c>
      <c r="Q38" s="2" t="s">
        <v>31</v>
      </c>
      <c r="R38" s="2" t="s">
        <v>49</v>
      </c>
      <c r="S38" s="2" t="s">
        <v>33</v>
      </c>
      <c r="T38" s="2" t="s">
        <v>27</v>
      </c>
      <c r="U38" s="2" t="s">
        <v>34</v>
      </c>
      <c r="V38" s="2" t="s">
        <v>51</v>
      </c>
      <c r="W38" s="2" t="s">
        <v>59</v>
      </c>
      <c r="X38" s="2" t="s">
        <v>37</v>
      </c>
      <c r="Y38" s="2" t="s">
        <v>70</v>
      </c>
    </row>
    <row r="39" spans="1:25" x14ac:dyDescent="0.3">
      <c r="A39" s="2" t="s">
        <v>46</v>
      </c>
      <c r="B39" s="2">
        <v>25</v>
      </c>
      <c r="C39" s="2" t="s">
        <v>25</v>
      </c>
      <c r="D39" s="2">
        <v>5</v>
      </c>
      <c r="E39" s="2">
        <v>4</v>
      </c>
      <c r="F39" s="2">
        <v>7</v>
      </c>
      <c r="G39" s="2">
        <v>6</v>
      </c>
      <c r="H39" s="2">
        <v>1</v>
      </c>
      <c r="I39" s="2">
        <v>2</v>
      </c>
      <c r="J39" s="2">
        <v>3</v>
      </c>
      <c r="K39" s="2" t="s">
        <v>25</v>
      </c>
      <c r="L39" s="2" t="s">
        <v>60</v>
      </c>
      <c r="M39" s="2" t="s">
        <v>63</v>
      </c>
      <c r="N39" s="2" t="s">
        <v>64</v>
      </c>
      <c r="O39" s="2" t="s">
        <v>47</v>
      </c>
      <c r="P39" s="2" t="s">
        <v>30</v>
      </c>
      <c r="Q39" s="2" t="s">
        <v>61</v>
      </c>
      <c r="R39" s="2" t="s">
        <v>67</v>
      </c>
      <c r="S39" s="2" t="s">
        <v>42</v>
      </c>
      <c r="T39" s="2" t="s">
        <v>27</v>
      </c>
      <c r="U39" s="2" t="s">
        <v>34</v>
      </c>
      <c r="V39" s="2" t="s">
        <v>35</v>
      </c>
      <c r="W39" s="2" t="s">
        <v>36</v>
      </c>
      <c r="X39" s="2" t="s">
        <v>45</v>
      </c>
      <c r="Y39" s="2" t="s">
        <v>70</v>
      </c>
    </row>
    <row r="40" spans="1:25" x14ac:dyDescent="0.3">
      <c r="A40" s="2" t="s">
        <v>46</v>
      </c>
      <c r="B40" s="2">
        <v>31</v>
      </c>
      <c r="C40" s="2" t="s">
        <v>25</v>
      </c>
      <c r="D40" s="2">
        <v>2</v>
      </c>
      <c r="E40" s="2">
        <v>4</v>
      </c>
      <c r="F40" s="2">
        <v>7</v>
      </c>
      <c r="G40" s="2">
        <v>5</v>
      </c>
      <c r="H40" s="2">
        <v>3</v>
      </c>
      <c r="I40" s="2">
        <v>1</v>
      </c>
      <c r="J40" s="2">
        <v>6</v>
      </c>
      <c r="K40" s="2" t="s">
        <v>25</v>
      </c>
      <c r="L40" s="2" t="s">
        <v>60</v>
      </c>
      <c r="M40" s="2" t="s">
        <v>63</v>
      </c>
      <c r="N40" s="2" t="s">
        <v>28</v>
      </c>
      <c r="O40" s="2" t="s">
        <v>29</v>
      </c>
      <c r="P40" s="2" t="s">
        <v>41</v>
      </c>
      <c r="Q40" s="2" t="s">
        <v>31</v>
      </c>
      <c r="R40" s="2" t="s">
        <v>49</v>
      </c>
      <c r="S40" s="2" t="s">
        <v>42</v>
      </c>
      <c r="T40" s="2" t="s">
        <v>43</v>
      </c>
      <c r="U40" s="2" t="s">
        <v>56</v>
      </c>
      <c r="V40" s="2" t="s">
        <v>51</v>
      </c>
      <c r="W40" s="2" t="s">
        <v>36</v>
      </c>
      <c r="X40" s="2" t="s">
        <v>37</v>
      </c>
      <c r="Y40" s="2" t="s">
        <v>70</v>
      </c>
    </row>
    <row r="41" spans="1:25" x14ac:dyDescent="0.3">
      <c r="A41" s="2" t="s">
        <v>46</v>
      </c>
      <c r="B41" s="2">
        <v>29</v>
      </c>
      <c r="C41" s="2" t="s">
        <v>25</v>
      </c>
      <c r="D41" s="2">
        <v>4</v>
      </c>
      <c r="E41" s="2">
        <v>3</v>
      </c>
      <c r="F41" s="2">
        <v>5</v>
      </c>
      <c r="G41" s="2">
        <v>7</v>
      </c>
      <c r="H41" s="2">
        <v>2</v>
      </c>
      <c r="I41" s="2">
        <v>1</v>
      </c>
      <c r="J41" s="2">
        <v>6</v>
      </c>
      <c r="K41" s="2" t="s">
        <v>25</v>
      </c>
      <c r="L41" s="2" t="s">
        <v>26</v>
      </c>
      <c r="M41" s="2" t="s">
        <v>27</v>
      </c>
      <c r="N41" s="2" t="s">
        <v>28</v>
      </c>
      <c r="O41" s="2" t="s">
        <v>47</v>
      </c>
      <c r="P41" s="2" t="s">
        <v>30</v>
      </c>
      <c r="Q41" s="2" t="s">
        <v>31</v>
      </c>
      <c r="R41" s="2" t="s">
        <v>65</v>
      </c>
      <c r="S41" s="2" t="s">
        <v>33</v>
      </c>
      <c r="T41" s="2" t="s">
        <v>43</v>
      </c>
      <c r="U41" s="2" t="s">
        <v>34</v>
      </c>
      <c r="V41" s="2" t="s">
        <v>35</v>
      </c>
      <c r="W41" s="2" t="s">
        <v>36</v>
      </c>
      <c r="X41" s="2" t="s">
        <v>45</v>
      </c>
      <c r="Y41" s="2" t="str" cm="1">
        <f t="array" ref="Y41">_xlfn.IFS(R41="Equity Market",T41,R41="Mutual Fund",U41,R41="Government Bonds",V41,R41="Fixed Deposits",W41)</f>
        <v>Fixed Returns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Sheet5</vt:lpstr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Singh</dc:creator>
  <cp:lastModifiedBy>Abhijit Singh</cp:lastModifiedBy>
  <dcterms:created xsi:type="dcterms:W3CDTF">2026-09-24T06:32:53Z</dcterms:created>
  <dcterms:modified xsi:type="dcterms:W3CDTF">2026-09-27T16:51:43Z</dcterms:modified>
</cp:coreProperties>
</file>