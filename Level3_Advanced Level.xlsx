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ji\Downloads\"/>
    </mc:Choice>
  </mc:AlternateContent>
  <xr:revisionPtr revIDLastSave="0" documentId="13_ncr:1_{012DEDB5-3520-4B18-9B01-16291361FCF8}" xr6:coauthVersionLast="47" xr6:coauthVersionMax="47" xr10:uidLastSave="{00000000-0000-0000-0000-000000000000}"/>
  <bookViews>
    <workbookView xWindow="-108" yWindow="-108" windowWidth="23256" windowHeight="12456" xr2:uid="{F03FB438-FA59-42D2-9766-D7EC419529FD}"/>
  </bookViews>
  <sheets>
    <sheet name="Data_set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2" i="1"/>
  <c r="AB2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2" i="1"/>
  <c r="AC2" i="1" s="1"/>
  <c r="AA2" i="1" l="1"/>
</calcChain>
</file>

<file path=xl/sharedStrings.xml><?xml version="1.0" encoding="utf-8"?>
<sst xmlns="http://schemas.openxmlformats.org/spreadsheetml/2006/main" count="669" uniqueCount="73">
  <si>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</si>
  <si>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</si>
  <si>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</si>
  <si>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</si>
  <si>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</si>
  <si>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</si>
  <si>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</si>
  <si>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</si>
  <si>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</si>
  <si>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</si>
  <si>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</si>
  <si>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</si>
  <si>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</si>
  <si>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</si>
  <si>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</si>
  <si>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</si>
  <si>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</si>
  <si>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</si>
  <si>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</si>
  <si>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</si>
  <si>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</si>
  <si>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</si>
  <si>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</si>
  <si>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</si>
  <si>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</si>
  <si>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</si>
  <si>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</si>
  <si>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</si>
  <si>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</si>
  <si>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</si>
  <si>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</si>
  <si>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</si>
  <si>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</si>
  <si>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</si>
  <si>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</si>
  <si>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</si>
  <si>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</si>
  <si>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</si>
  <si>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</si>
  <si>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</si>
  <si>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</si>
  <si>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</si>
  <si>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</si>
  <si>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</si>
  <si>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</si>
  <si>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</si>
  <si>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</si>
  <si>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</si>
  <si>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</si>
  <si>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</si>
  <si>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</si>
  <si>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</si>
  <si>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</si>
  <si>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</si>
  <si>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</si>
  <si>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</si>
  <si>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</si>
  <si>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</si>
  <si>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</si>
  <si>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</si>
  <si>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</si>
  <si>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</si>
  <si>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</si>
  <si>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</si>
  <si>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</si>
  <si>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</si>
  <si>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</si>
  <si>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</si>
  <si>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Expected Return</t>
  </si>
  <si>
    <t xml:space="preserve">Duration years </t>
  </si>
  <si>
    <t xml:space="preserve">Age VS Duration </t>
  </si>
  <si>
    <t xml:space="preserve">Age VS Expected Duration </t>
  </si>
  <si>
    <t xml:space="preserve">Duration VS Expected Return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</si>
</sst>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2" fontId="17" fillId="33" borderId="0" xfId="0" applyNumberFormat="1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835778421261013E-2"/>
          <c:y val="0.16025209900515874"/>
          <c:w val="0.90291578732429478"/>
          <c:h val="0.716969748341468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'Data_set 2'!$Y$1</c:f>
              <c:strCache>
                <c:ptCount val="1"/>
                <c:pt idx="0">
                  <c:v>Duration years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'Data_set 2'!$B$2:$B$41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'Data_set 2'!$Y$2:$Y$41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2-4A33-9162-6970C0D8E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957759"/>
        <c:axId val="590409967"/>
      </c:scatterChart>
      <c:valAx>
        <c:axId val="62195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09967"/>
        <c:crosses val="autoZero"/>
        <c:crossBetween val="midCat"/>
      </c:valAx>
      <c:valAx>
        <c:axId val="59040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5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2'!$Z$1</c:f>
              <c:strCache>
                <c:ptCount val="1"/>
                <c:pt idx="0">
                  <c:v>Expected Return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'Data_set 2'!$B$2:$B$41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'Data_set 2'!$Z$2:$Z$41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2-4302-AF80-86C62F97B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791679"/>
        <c:axId val="590393167"/>
      </c:scatterChart>
      <c:valAx>
        <c:axId val="62179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93167"/>
        <c:crosses val="autoZero"/>
        <c:crossBetween val="midCat"/>
      </c:valAx>
      <c:valAx>
        <c:axId val="5903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'Data_set 2'!$Z$1</c:f>
              <c:strCache>
                <c:ptCount val="1"/>
                <c:pt idx="0">
                  <c:v>Expected Return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'Data_set 2'!$Y$2:$Y$41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xVal>
          <c:yVal>
            <c:numRef>
              <c:f>'Data_set 2'!$Z$2:$Z$41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B-4209-9E66-CCC8B5BF5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491423"/>
        <c:axId val="590382607"/>
      </c:scatterChart>
      <c:valAx>
        <c:axId val="63749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82607"/>
        <c:crosses val="autoZero"/>
        <c:crossBetween val="midCat"/>
      </c:valAx>
      <c:valAx>
        <c:axId val="5903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9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'Data_set 2'!$Y$1</c:f>
              <c:strCache>
                <c:ptCount val="1"/>
                <c:pt idx="0">
                  <c:v>Duration years 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'Data_set 2'!$B$2:$B$41</c:f>
              <c:numCache>
                <c:formatCode>General</c:formatCode>
                <c:ptCount val="40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27</c:v>
                </c:pt>
                <c:pt idx="7">
                  <c:v>21</c:v>
                </c:pt>
                <c:pt idx="8">
                  <c:v>35</c:v>
                </c:pt>
                <c:pt idx="9">
                  <c:v>31</c:v>
                </c:pt>
                <c:pt idx="10">
                  <c:v>35</c:v>
                </c:pt>
                <c:pt idx="11">
                  <c:v>29</c:v>
                </c:pt>
                <c:pt idx="12">
                  <c:v>21</c:v>
                </c:pt>
                <c:pt idx="13">
                  <c:v>28</c:v>
                </c:pt>
                <c:pt idx="14">
                  <c:v>25</c:v>
                </c:pt>
                <c:pt idx="15">
                  <c:v>27</c:v>
                </c:pt>
                <c:pt idx="16">
                  <c:v>28</c:v>
                </c:pt>
                <c:pt idx="17">
                  <c:v>27</c:v>
                </c:pt>
                <c:pt idx="18">
                  <c:v>29</c:v>
                </c:pt>
                <c:pt idx="19">
                  <c:v>26</c:v>
                </c:pt>
                <c:pt idx="20">
                  <c:v>29</c:v>
                </c:pt>
                <c:pt idx="21">
                  <c:v>24</c:v>
                </c:pt>
                <c:pt idx="22">
                  <c:v>27</c:v>
                </c:pt>
                <c:pt idx="23">
                  <c:v>25</c:v>
                </c:pt>
                <c:pt idx="24">
                  <c:v>26</c:v>
                </c:pt>
                <c:pt idx="25">
                  <c:v>32</c:v>
                </c:pt>
                <c:pt idx="26">
                  <c:v>26</c:v>
                </c:pt>
                <c:pt idx="27">
                  <c:v>31</c:v>
                </c:pt>
                <c:pt idx="28">
                  <c:v>29</c:v>
                </c:pt>
                <c:pt idx="29">
                  <c:v>34</c:v>
                </c:pt>
                <c:pt idx="30">
                  <c:v>27</c:v>
                </c:pt>
                <c:pt idx="31">
                  <c:v>31</c:v>
                </c:pt>
                <c:pt idx="32">
                  <c:v>27</c:v>
                </c:pt>
                <c:pt idx="33">
                  <c:v>26</c:v>
                </c:pt>
                <c:pt idx="34">
                  <c:v>27</c:v>
                </c:pt>
                <c:pt idx="35">
                  <c:v>30</c:v>
                </c:pt>
                <c:pt idx="36">
                  <c:v>30</c:v>
                </c:pt>
                <c:pt idx="37">
                  <c:v>25</c:v>
                </c:pt>
                <c:pt idx="38">
                  <c:v>31</c:v>
                </c:pt>
                <c:pt idx="39">
                  <c:v>29</c:v>
                </c:pt>
              </c:numCache>
            </c:numRef>
          </c:xVal>
          <c:yVal>
            <c:numRef>
              <c:f>'Data_set 2'!$Y$2:$Y$41</c:f>
              <c:numCache>
                <c:formatCode>General</c:formatCode>
                <c:ptCount val="40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0.5</c:v>
                </c:pt>
                <c:pt idx="4">
                  <c:v>0.5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4</c:v>
                </c:pt>
              </c:numCache>
            </c:numRef>
          </c:yVal>
          <c:bubbleSize>
            <c:numRef>
              <c:f>'Data_set 2'!$Z$2:$Z$41</c:f>
              <c:numCache>
                <c:formatCode>General</c:formatCode>
                <c:ptCount val="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15</c:v>
                </c:pt>
                <c:pt idx="4">
                  <c:v>25</c:v>
                </c:pt>
                <c:pt idx="5">
                  <c:v>35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35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15</c:v>
                </c:pt>
                <c:pt idx="30">
                  <c:v>15</c:v>
                </c:pt>
                <c:pt idx="31">
                  <c:v>25</c:v>
                </c:pt>
                <c:pt idx="32">
                  <c:v>35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35</c:v>
                </c:pt>
                <c:pt idx="38">
                  <c:v>25</c:v>
                </c:pt>
                <c:pt idx="39">
                  <c:v>25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38F3-425B-B127-96229BBC2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621785647"/>
        <c:axId val="590372047"/>
      </c:bubbleChart>
      <c:valAx>
        <c:axId val="62178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Duration_Years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72047"/>
        <c:crosses val="autoZero"/>
        <c:crossBetween val="midCat"/>
      </c:valAx>
      <c:valAx>
        <c:axId val="5903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Expected</a:t>
                </a:r>
                <a:r>
                  <a:rPr lang="en-IN" baseline="0"/>
                  <a:t> Returns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785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124691</xdr:colOff>
      <xdr:row>43</xdr:row>
      <xdr:rowOff>95942</xdr:rowOff>
    </xdr:from>
    <xdr:to>
      <xdr:col>6</xdr:col>
      <xdr:colOff>856211</xdr:colOff>
      <xdr:row>58</xdr:row>
      <xdr:rowOff>95943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31D347-DD63-1941-06D6-E217FBFD9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103910</xdr:colOff>
      <xdr:row>43</xdr:row>
      <xdr:rowOff>83128</xdr:rowOff>
    </xdr:from>
    <xdr:to>
      <xdr:col>13</xdr:col>
      <xdr:colOff>242455</xdr:colOff>
      <xdr:row>58</xdr:row>
      <xdr:rowOff>124692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60803E-21E8-7EF0-780E-597487657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644236</xdr:colOff>
      <xdr:row>43</xdr:row>
      <xdr:rowOff>110837</xdr:rowOff>
    </xdr:from>
    <xdr:to>
      <xdr:col>18</xdr:col>
      <xdr:colOff>422563</xdr:colOff>
      <xdr:row>58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7723E2-06E2-2F05-D18E-70F0407AB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706581</xdr:colOff>
      <xdr:row>43</xdr:row>
      <xdr:rowOff>55418</xdr:rowOff>
    </xdr:from>
    <xdr:to>
      <xdr:col>24</xdr:col>
      <xdr:colOff>602672</xdr:colOff>
      <xdr:row>65</xdr:row>
      <xdr:rowOff>110836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F17A63-D504-09C4-E421-A0171A798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D059-1763-4475-8B3D-E754A89A9672}">
  <dimension ref="A1:AC41"/>
  <sheetViews>
    <sheetView tabSelected="1" topLeftCell="F1" zoomScale="55" zoomScaleNormal="55" workbookViewId="0">
      <selection activeCell="Y6" sqref="Y6"/>
    </sheetView>
  </sheetViews>
  <sheetFormatPr defaultRowHeight="14.4" x14ac:dyDescent="0.3"/>
  <cols>
    <col min="1" max="1" width="7" bestFit="1" customWidth="1"/>
    <col min="2" max="2" width="3.88671875" bestFit="1" customWidth="1"/>
    <col min="3" max="3" width="17.5546875" bestFit="1" customWidth="1"/>
    <col min="4" max="5" width="12.109375" bestFit="1" customWidth="1"/>
    <col min="6" max="6" width="10.33203125" bestFit="1" customWidth="1"/>
    <col min="7" max="7" width="16.77734375" bestFit="1" customWidth="1"/>
    <col min="8" max="8" width="13.109375" bestFit="1" customWidth="1"/>
    <col min="9" max="9" width="4.21875" bestFit="1" customWidth="1"/>
    <col min="10" max="10" width="4.77734375" bestFit="1" customWidth="1"/>
    <col min="11" max="11" width="12.3320312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2.5546875" bestFit="1" customWidth="1"/>
    <col min="17" max="17" width="8.77734375" bestFit="1" customWidth="1"/>
    <col min="18" max="18" width="18.44140625" bestFit="1" customWidth="1"/>
    <col min="19" max="19" width="28" bestFit="1" customWidth="1"/>
    <col min="20" max="20" width="17.44140625" bestFit="1" customWidth="1"/>
    <col min="21" max="21" width="16.88671875" bestFit="1" customWidth="1"/>
    <col min="22" max="22" width="14.21875" bestFit="1" customWidth="1"/>
    <col min="23" max="23" width="16.109375" bestFit="1" customWidth="1"/>
    <col min="24" max="24" width="23.5546875" bestFit="1" customWidth="1"/>
    <col min="25" max="25" width="15.109375" bestFit="1" customWidth="1"/>
    <col min="26" max="26" width="17.109375" bestFit="1" customWidth="1"/>
    <col min="27" max="27" width="17.33203125" style="3" bestFit="1" customWidth="1"/>
    <col min="28" max="28" width="27" style="3" bestFit="1" customWidth="1"/>
    <col min="29" max="29" width="29.44140625" bestFit="1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69</v>
      </c>
      <c r="Z1" s="1" t="s">
        <v>68</v>
      </c>
      <c r="AA1" s="2" t="s">
        <v>70</v>
      </c>
      <c r="AB1" s="2" t="s">
        <v>71</v>
      </c>
      <c r="AC1" s="1" t="s">
        <v>72</v>
      </c>
    </row>
    <row r="2" spans="1:29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  <c r="Y2">
        <f>IF(O2="Less than 1 year",0.5,IF(O2="1-3 years",2,IF(O2="3-5 years",4,IF(O2="More than 5 years",6))))</f>
        <v>2</v>
      </c>
      <c r="Z2">
        <f>IF(Q2="10%-20%",15,IF(Q2="20%-30%",25,IF(Q2="30%-40%",35,IF(Q2="Above 40%",45))))</f>
        <v>25</v>
      </c>
      <c r="AA2" s="3">
        <f>CORREL(B2:B41,Y2:Y41)</f>
        <v>5.1755716569689851E-2</v>
      </c>
      <c r="AB2" s="3">
        <f>CORREL(B2:B41,Z2:Z41)</f>
        <v>-8.9605620240757883E-2</v>
      </c>
      <c r="AC2">
        <f>CORREL(Y2:Y41,Z2:Z41)</f>
        <v>0.25822264315920551</v>
      </c>
    </row>
    <row r="3" spans="1:29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  <c r="Y3">
        <f t="shared" ref="Y3:Y41" si="0">IF(O3="Less than 1 year",0.5,IF(O3="1-3 years",2,IF(O3="3-5 years",4,IF(O3="More than 5 years",6))))</f>
        <v>6</v>
      </c>
      <c r="Z3">
        <f t="shared" ref="Z3:Z41" si="1">IF(Q3="10%-20%",15,IF(Q3="20%-30%",25,IF(Q3="30%-40%",35,IF(Q3="Above 40%",45))))</f>
        <v>25</v>
      </c>
    </row>
    <row r="4" spans="1:29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  <c r="Y4">
        <f t="shared" si="0"/>
        <v>4</v>
      </c>
      <c r="Z4">
        <f t="shared" si="1"/>
        <v>25</v>
      </c>
    </row>
    <row r="5" spans="1:29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  <c r="Y5">
        <f t="shared" si="0"/>
        <v>0.5</v>
      </c>
      <c r="Z5">
        <f t="shared" si="1"/>
        <v>15</v>
      </c>
    </row>
    <row r="6" spans="1:29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  <c r="Y6">
        <f t="shared" si="0"/>
        <v>0.5</v>
      </c>
      <c r="Z6">
        <f t="shared" si="1"/>
        <v>25</v>
      </c>
    </row>
    <row r="7" spans="1:29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  <c r="Y7">
        <f t="shared" si="0"/>
        <v>2</v>
      </c>
      <c r="Z7">
        <f t="shared" si="1"/>
        <v>35</v>
      </c>
    </row>
    <row r="8" spans="1:29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  <c r="Y8">
        <f t="shared" si="0"/>
        <v>4</v>
      </c>
      <c r="Z8">
        <f t="shared" si="1"/>
        <v>25</v>
      </c>
    </row>
    <row r="9" spans="1:29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  <c r="Y9">
        <f t="shared" si="0"/>
        <v>4</v>
      </c>
      <c r="Z9">
        <f t="shared" si="1"/>
        <v>25</v>
      </c>
    </row>
    <row r="10" spans="1:29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  <c r="Y10">
        <f t="shared" si="0"/>
        <v>2</v>
      </c>
      <c r="Z10">
        <f t="shared" si="1"/>
        <v>25</v>
      </c>
    </row>
    <row r="11" spans="1:29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  <c r="Y11">
        <f t="shared" si="0"/>
        <v>4</v>
      </c>
      <c r="Z11">
        <f t="shared" si="1"/>
        <v>35</v>
      </c>
    </row>
    <row r="12" spans="1:29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  <c r="Y12">
        <f t="shared" si="0"/>
        <v>4</v>
      </c>
      <c r="Z12">
        <f t="shared" si="1"/>
        <v>25</v>
      </c>
    </row>
    <row r="13" spans="1:29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  <c r="Y13">
        <f t="shared" si="0"/>
        <v>2</v>
      </c>
      <c r="Z13">
        <f t="shared" si="1"/>
        <v>25</v>
      </c>
    </row>
    <row r="14" spans="1:29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  <c r="Y14">
        <f t="shared" si="0"/>
        <v>2</v>
      </c>
      <c r="Z14">
        <f t="shared" si="1"/>
        <v>25</v>
      </c>
    </row>
    <row r="15" spans="1:29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  <c r="Y15">
        <f t="shared" si="0"/>
        <v>2</v>
      </c>
      <c r="Z15">
        <f t="shared" si="1"/>
        <v>25</v>
      </c>
    </row>
    <row r="16" spans="1:29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  <c r="Y16">
        <f t="shared" si="0"/>
        <v>2</v>
      </c>
      <c r="Z16">
        <f t="shared" si="1"/>
        <v>25</v>
      </c>
    </row>
    <row r="17" spans="1:26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  <c r="Y17">
        <f t="shared" si="0"/>
        <v>2</v>
      </c>
      <c r="Z17">
        <f t="shared" si="1"/>
        <v>25</v>
      </c>
    </row>
    <row r="18" spans="1:26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  <c r="Y18">
        <f t="shared" si="0"/>
        <v>2</v>
      </c>
      <c r="Z18">
        <f t="shared" si="1"/>
        <v>25</v>
      </c>
    </row>
    <row r="19" spans="1:26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  <c r="Y19">
        <f t="shared" si="0"/>
        <v>2</v>
      </c>
      <c r="Z19">
        <f t="shared" si="1"/>
        <v>25</v>
      </c>
    </row>
    <row r="20" spans="1:26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  <c r="Y20">
        <f t="shared" si="0"/>
        <v>2</v>
      </c>
      <c r="Z20">
        <f t="shared" si="1"/>
        <v>25</v>
      </c>
    </row>
    <row r="21" spans="1:26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  <c r="Y21">
        <f t="shared" si="0"/>
        <v>4</v>
      </c>
      <c r="Z21">
        <f t="shared" si="1"/>
        <v>25</v>
      </c>
    </row>
    <row r="22" spans="1:26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  <c r="Y22">
        <f t="shared" si="0"/>
        <v>4</v>
      </c>
      <c r="Z22">
        <f t="shared" si="1"/>
        <v>25</v>
      </c>
    </row>
    <row r="23" spans="1:26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  <c r="Y23">
        <f t="shared" si="0"/>
        <v>4</v>
      </c>
      <c r="Z23">
        <f t="shared" si="1"/>
        <v>25</v>
      </c>
    </row>
    <row r="24" spans="1:26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  <c r="Y24">
        <f t="shared" si="0"/>
        <v>4</v>
      </c>
      <c r="Z24">
        <f t="shared" si="1"/>
        <v>25</v>
      </c>
    </row>
    <row r="25" spans="1:26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  <c r="Y25">
        <f t="shared" si="0"/>
        <v>4</v>
      </c>
      <c r="Z25">
        <f t="shared" si="1"/>
        <v>25</v>
      </c>
    </row>
    <row r="26" spans="1:26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  <c r="Y26">
        <f t="shared" si="0"/>
        <v>4</v>
      </c>
      <c r="Z26">
        <f t="shared" si="1"/>
        <v>35</v>
      </c>
    </row>
    <row r="27" spans="1:26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  <c r="Y27">
        <f t="shared" si="0"/>
        <v>4</v>
      </c>
      <c r="Z27">
        <f t="shared" si="1"/>
        <v>25</v>
      </c>
    </row>
    <row r="28" spans="1:26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  <c r="Y28">
        <f t="shared" si="0"/>
        <v>4</v>
      </c>
      <c r="Z28">
        <f t="shared" si="1"/>
        <v>25</v>
      </c>
    </row>
    <row r="29" spans="1:26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  <c r="Y29">
        <f t="shared" si="0"/>
        <v>2</v>
      </c>
      <c r="Z29">
        <f t="shared" si="1"/>
        <v>25</v>
      </c>
    </row>
    <row r="30" spans="1:26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  <c r="Y30">
        <f t="shared" si="0"/>
        <v>2</v>
      </c>
      <c r="Z30">
        <f t="shared" si="1"/>
        <v>25</v>
      </c>
    </row>
    <row r="31" spans="1:26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  <c r="Y31">
        <f t="shared" si="0"/>
        <v>4</v>
      </c>
      <c r="Z31">
        <f t="shared" si="1"/>
        <v>15</v>
      </c>
    </row>
    <row r="32" spans="1:26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  <c r="Y32">
        <f t="shared" si="0"/>
        <v>2</v>
      </c>
      <c r="Z32">
        <f t="shared" si="1"/>
        <v>15</v>
      </c>
    </row>
    <row r="33" spans="1:26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  <c r="Y33">
        <f t="shared" si="0"/>
        <v>4</v>
      </c>
      <c r="Z33">
        <f t="shared" si="1"/>
        <v>25</v>
      </c>
    </row>
    <row r="34" spans="1:26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  <c r="Y34">
        <f t="shared" si="0"/>
        <v>4</v>
      </c>
      <c r="Z34">
        <f t="shared" si="1"/>
        <v>35</v>
      </c>
    </row>
    <row r="35" spans="1:26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  <c r="Y35">
        <f t="shared" si="0"/>
        <v>2</v>
      </c>
      <c r="Z35">
        <f t="shared" si="1"/>
        <v>25</v>
      </c>
    </row>
    <row r="36" spans="1:26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  <c r="Y36">
        <f t="shared" si="0"/>
        <v>2</v>
      </c>
      <c r="Z36">
        <f t="shared" si="1"/>
        <v>25</v>
      </c>
    </row>
    <row r="37" spans="1:26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  <c r="Y37">
        <f t="shared" si="0"/>
        <v>4</v>
      </c>
      <c r="Z37">
        <f t="shared" si="1"/>
        <v>25</v>
      </c>
    </row>
    <row r="38" spans="1:26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  <c r="Y38">
        <f t="shared" si="0"/>
        <v>2</v>
      </c>
      <c r="Z38">
        <f t="shared" si="1"/>
        <v>25</v>
      </c>
    </row>
    <row r="39" spans="1:26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  <c r="Y39">
        <f t="shared" si="0"/>
        <v>4</v>
      </c>
      <c r="Z39">
        <f t="shared" si="1"/>
        <v>35</v>
      </c>
    </row>
    <row r="40" spans="1:26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  <c r="Y40">
        <f t="shared" si="0"/>
        <v>2</v>
      </c>
      <c r="Z40">
        <f t="shared" si="1"/>
        <v>25</v>
      </c>
    </row>
    <row r="41" spans="1:26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  <c r="Y41">
        <f t="shared" si="0"/>
        <v>4</v>
      </c>
      <c r="Z41">
        <f t="shared" si="1"/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Singh</dc:creator>
  <cp:lastModifiedBy>Abhijit Singh</cp:lastModifiedBy>
  <dcterms:created xsi:type="dcterms:W3CDTF">2026-09-27T05:41:34Z</dcterms:created>
  <dcterms:modified xsi:type="dcterms:W3CDTF">2026-09-27T16:47:17Z</dcterms:modified>
</cp:coreProperties>
</file>