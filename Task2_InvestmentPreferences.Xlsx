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ji\Downloads\"/>
    </mc:Choice>
  </mc:AlternateContent>
  <xr:revisionPtr revIDLastSave="0" documentId="13_ncr:1_{50705A03-0051-4330-869B-252721788F38}" xr6:coauthVersionLast="47" xr6:coauthVersionMax="47" xr10:uidLastSave="{00000000-0000-0000-0000-000000000000}"/>
  <bookViews>
    <workbookView xWindow="-108" yWindow="-108" windowWidth="23256" windowHeight="12456" xr2:uid="{D5CC0F77-6485-4E55-8505-984AB1808A36}"/>
  </bookViews>
  <sheets>
    <sheet name="Sheet2" sheetId="4" r:id="rId1"/>
    <sheet name="Sheet3" sheetId="5" r:id="rId2"/>
    <sheet name="Sheet1" sheetId="6" r:id="rId3"/>
    <sheet name="Data_set 2" sheetId="1" r:id="rId4"/>
  </sheets>
  <definedNames>
    <definedName name="_xlnm._FilterDatabase" localSheetId="3" hidden="1">'Data_set 2'!$Y$1:$Y$41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" i="1" l="1" a="1"/>
  <c r="Y26" i="1" s="1"/>
  <c r="Y27" i="1" a="1"/>
  <c r="Y27" i="1" s="1"/>
  <c r="Y28" i="1" a="1"/>
  <c r="Y28" i="1" s="1"/>
  <c r="Y29" i="1" a="1"/>
  <c r="Y29" i="1" s="1"/>
  <c r="Y30" i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37" i="1" a="1"/>
  <c r="Y37" i="1" s="1"/>
  <c r="Y38" i="1" a="1"/>
  <c r="Y38" i="1"/>
  <c r="Y39" i="1" a="1"/>
  <c r="Y39" i="1" s="1"/>
  <c r="Y40" i="1" a="1"/>
  <c r="Y40" i="1" s="1"/>
  <c r="Y41" i="1" a="1"/>
  <c r="Y41" i="1" s="1"/>
  <c r="Y25" i="1" a="1"/>
  <c r="Y25" i="1" s="1"/>
  <c r="Y3" i="1" a="1"/>
  <c r="Y3" i="1" s="1"/>
  <c r="Y4" i="1" a="1"/>
  <c r="Y4" i="1" s="1"/>
  <c r="Y5" i="1" a="1"/>
  <c r="Y5" i="1" s="1"/>
  <c r="Y6" i="1" a="1"/>
  <c r="Y6" i="1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Y12" i="1" a="1"/>
  <c r="Y12" i="1" s="1"/>
  <c r="Y13" i="1" a="1"/>
  <c r="Y13" i="1" s="1"/>
  <c r="Y14" i="1" a="1"/>
  <c r="Y14" i="1" s="1"/>
  <c r="Y15" i="1" a="1"/>
  <c r="Y15" i="1" s="1"/>
  <c r="Y16" i="1" a="1"/>
  <c r="Y16" i="1" s="1"/>
  <c r="Y17" i="1" a="1"/>
  <c r="Y17" i="1" s="1"/>
  <c r="Y18" i="1" a="1"/>
  <c r="Y18" i="1"/>
  <c r="Y19" i="1" a="1"/>
  <c r="Y19" i="1" s="1"/>
  <c r="Y20" i="1" a="1"/>
  <c r="Y20" i="1" s="1"/>
  <c r="Y21" i="1" a="1"/>
  <c r="Y21" i="1" s="1"/>
  <c r="Y22" i="1" a="1"/>
  <c r="Y22" i="1" s="1"/>
  <c r="Y23" i="1" a="1"/>
  <c r="Y23" i="1" s="1"/>
  <c r="Y24" i="1" a="1"/>
  <c r="Y24" i="1" s="1"/>
  <c r="Y2" i="1" a="1"/>
  <c r="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<sst xmlns="http://schemas.openxmlformats.org/spreadsheetml/2006/main" count="696" uniqueCount="74">
  <si>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</si>
  <si>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</si>
  <si>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</si>
  <si>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</si>
  <si>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</si>
  <si>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</si>
  <si>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</si>
  <si>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</si>
  <si>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</si>
  <si>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</si>
  <si>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</si>
  <si>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</si>
  <si>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</si>
  <si>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</si>
  <si>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</si>
  <si>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</si>
  <si>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</si>
  <si>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</si>
  <si>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</si>
  <si>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</si>
  <si>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</si>
  <si>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</si>
  <si>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</si>
  <si>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</si>
  <si>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</si>
  <si>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</si>
  <si>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</si>
  <si>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</si>
  <si>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</si>
  <si>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</si>
  <si>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</si>
  <si>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</si>
  <si>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</si>
  <si>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</si>
  <si>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</si>
  <si>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</si>
  <si>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</si>
  <si>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</si>
  <si>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</si>
  <si>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</si>
  <si>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</si>
  <si>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</si>
  <si>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</si>
  <si>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</si>
  <si>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</si>
  <si>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</si>
  <si>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</si>
  <si>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</si>
  <si>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</si>
  <si>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</si>
  <si>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</si>
  <si>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</si>
  <si>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</si>
  <si>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</si>
  <si>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</si>
  <si>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</si>
  <si>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</si>
  <si>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</si>
  <si>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</si>
  <si>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</si>
  <si>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</si>
  <si>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</si>
  <si>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</si>
  <si>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</si>
  <si>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</si>
  <si>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</si>
  <si>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</si>
  <si>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</si>
  <si>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</si>
  <si>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</si>
  <si>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Avenue</t>
  </si>
  <si>
    <t>Primary Reasons</t>
  </si>
  <si>
    <t>Column Labels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</si>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</sst>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7" fillId="33" borderId="0" xfId="0" applyFont="1" applyFill="1"/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[Task2_InvestmentPreferences.Xlsx]Sheet2!PivotTable2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Investment Avenue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Sheet2!$A$4:$A$8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2-4B19-ABF6-AD097ADAC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00654383"/>
        <c:axId val="1393221679"/>
      </c:barChart>
      <c:catAx>
        <c:axId val="160065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21679"/>
        <c:crosses val="autoZero"/>
        <c:auto val="1"/>
        <c:lblAlgn val="ctr"/>
        <c:lblOffset val="100"/>
        <c:noMultiLvlLbl val="0"/>
      </c:catAx>
      <c:valAx>
        <c:axId val="13932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5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[Task2_InvestmentPreferences.Xlsx]Sheet3!PivotTable3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Investment Avenue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Sheet3!$A$4:$A$8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18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E-47CE-9E74-583171CAD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0639071"/>
        <c:axId val="1393208239"/>
      </c:barChart>
      <c:catAx>
        <c:axId val="160063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08239"/>
        <c:crosses val="autoZero"/>
        <c:auto val="1"/>
        <c:lblAlgn val="ctr"/>
        <c:lblOffset val="100"/>
        <c:noMultiLvlLbl val="0"/>
      </c:catAx>
      <c:valAx>
        <c:axId val="139320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63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[Task2_InvestmentPreferences.Xlsx]Sheet1!PivotTable2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Better Returns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9-46BF-B9F7-8013ADB2840E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Capital Appreciation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9-46BF-B9F7-8013ADB2840E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Dividend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4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09-46BF-B9F7-8013ADB2840E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Fixed Returns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Sheet1!$E$5:$E$9</c:f>
              <c:numCache>
                <c:formatCode>General</c:formatCode>
                <c:ptCount val="4"/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09-46BF-B9F7-8013ADB2840E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Fund Diversification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Sheet1!$F$5:$F$9</c:f>
              <c:numCache>
                <c:formatCode>General</c:formatCode>
                <c:ptCount val="4"/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09-46BF-B9F7-8013ADB2840E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Sheet1!$G$5:$G$9</c:f>
              <c:numCache>
                <c:formatCode>General</c:formatCode>
                <c:ptCount val="4"/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09-46BF-B9F7-8013ADB2840E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Risk Free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Sheet1!$H$5:$H$9</c:f>
              <c:numCache>
                <c:formatCode>General</c:formatCode>
                <c:ptCount val="4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09-46BF-B9F7-8013ADB2840E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Tax Benefits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Equity</c:v>
                </c:pt>
                <c:pt idx="1">
                  <c:v>Fixed Deposits</c:v>
                </c:pt>
                <c:pt idx="2">
                  <c:v>Mutual Fund</c:v>
                </c:pt>
                <c:pt idx="3">
                  <c:v>Public Provident Fund</c:v>
                </c:pt>
              </c:strCache>
            </c:strRef>
          </c:cat>
          <c:val>
            <c:numRef>
              <c:f>Sheet1!$I$5:$I$9</c:f>
              <c:numCache>
                <c:formatCode>General</c:formatCode>
                <c:ptCount val="4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09-46BF-B9F7-8013ADB28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4112079"/>
        <c:axId val="1494049679"/>
      </c:barChart>
      <c:catAx>
        <c:axId val="1514112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49679"/>
        <c:crosses val="autoZero"/>
        <c:auto val="1"/>
        <c:lblAlgn val="ctr"/>
        <c:lblOffset val="100"/>
        <c:noMultiLvlLbl val="0"/>
      </c:catAx>
      <c:valAx>
        <c:axId val="149404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11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</xdr:row>
      <xdr:rowOff>148590</xdr:rowOff>
    </xdr:from>
    <xdr:to>
      <xdr:col>10</xdr:col>
      <xdr:colOff>106680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5AD71-BD7B-3E22-C711-33F79A2A6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2</xdr:row>
      <xdr:rowOff>19050</xdr:rowOff>
    </xdr:from>
    <xdr:to>
      <xdr:col>8</xdr:col>
      <xdr:colOff>312420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CE14C-19F3-E263-5806-9DB9357D5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952500</xdr:colOff>
      <xdr:row>10</xdr:row>
      <xdr:rowOff>3810</xdr:rowOff>
    </xdr:from>
    <xdr:to>
      <xdr:col>7</xdr:col>
      <xdr:colOff>167640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7C6C3-5533-D807-AA28-BABD58E09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Singh" refreshedDate="46292.876650925929" createdVersion="8" refreshedVersion="8" minRefreshableVersion="3" recordCount="40" xr:uid="{CB7F2A13-69E3-4771-988B-B3744B0BA673}">
  <cacheSource type="worksheet">
    <worksheetSource ref="A1:Y41" sheet="Data_set 2"/>
  </cacheSource>
  <cacheFields count="25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  <cacheField name="Primary Reasons" numFmtId="0">
      <sharedItems count="8">
        <s v="Better Returns"/>
        <s v="Capital Appreciation"/>
        <s v="Dividend"/>
        <s v="Fund Diversification"/>
        <s v="Fixed Returns"/>
        <s v="Risk Free"/>
        <s v="Other"/>
        <s v="Tax Benefi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s v="1-3 years"/>
    <s v="Monthly"/>
    <s v="20%-30%"/>
    <x v="0"/>
    <s v="Retirement Plan"/>
    <s v="Capital Appreciation"/>
    <s v="Better Returns"/>
    <s v="Safe Investment"/>
    <s v="Fixed Returns"/>
    <s v="Newspapers and Magazines"/>
    <x v="0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s v="More than 5 years"/>
    <s v="Weekly"/>
    <s v="20%-30%"/>
    <x v="0"/>
    <s v="Health Care"/>
    <s v="Dividend"/>
    <s v="Better Returns"/>
    <s v="Safe Investment"/>
    <s v="High Interest Rates"/>
    <s v="Financial Consultants"/>
    <x v="0"/>
  </r>
  <r>
    <s v="Male"/>
    <n v="30"/>
    <s v="Yes"/>
    <n v="3"/>
    <n v="6"/>
    <n v="4"/>
    <n v="2"/>
    <n v="5"/>
    <n v="1"/>
    <n v="7"/>
    <s v="Yes"/>
    <s v="Returns"/>
    <s v="Capital Appreciation"/>
    <s v="Wealth Creation"/>
    <s v="3-5 years"/>
    <s v="Daily"/>
    <s v="20%-30%"/>
    <x v="1"/>
    <s v="Retirement Plan"/>
    <s v="Capital Appreciation"/>
    <s v="Tax Benefits"/>
    <s v="Assured Returns"/>
    <s v="Fixed Returns"/>
    <s v="Television"/>
    <x v="1"/>
  </r>
  <r>
    <s v="Male"/>
    <n v="22"/>
    <s v="Yes"/>
    <n v="2"/>
    <n v="1"/>
    <n v="3"/>
    <n v="7"/>
    <n v="6"/>
    <n v="4"/>
    <n v="5"/>
    <s v="Yes"/>
    <s v="Returns"/>
    <s v="Income"/>
    <s v="Wealth Creation"/>
    <s v="Less than 1 year"/>
    <s v="Daily"/>
    <s v="10%-20%"/>
    <x v="1"/>
    <s v="Retirement Plan"/>
    <s v="Dividend"/>
    <s v="Fund Diversification"/>
    <s v="Tax Incentives"/>
    <s v="High Interest Rates"/>
    <s v="Internet"/>
    <x v="2"/>
  </r>
  <r>
    <s v="Female"/>
    <n v="24"/>
    <s v="No"/>
    <n v="2"/>
    <n v="1"/>
    <n v="3"/>
    <n v="6"/>
    <n v="4"/>
    <n v="5"/>
    <n v="7"/>
    <s v="No"/>
    <s v="Returns"/>
    <s v="Income"/>
    <s v="Wealth Creation"/>
    <s v="Less than 1 year"/>
    <s v="Daily"/>
    <s v="20%-30%"/>
    <x v="1"/>
    <s v="Retirement Plan"/>
    <s v="Capital Appreciation"/>
    <s v="Better Returns"/>
    <s v="Safe Investment"/>
    <s v="Risk Free"/>
    <s v="Internet"/>
    <x v="1"/>
  </r>
  <r>
    <s v="Female"/>
    <n v="24"/>
    <s v="No"/>
    <n v="7"/>
    <n v="5"/>
    <n v="4"/>
    <n v="6"/>
    <n v="3"/>
    <n v="1"/>
    <n v="2"/>
    <s v="No"/>
    <s v="Risk"/>
    <s v="Capital Appreciation"/>
    <s v="Wealth Creation"/>
    <s v="1-3 years"/>
    <s v="Daily"/>
    <s v="30%-40%"/>
    <x v="0"/>
    <s v="Retirement Plan"/>
    <s v="Liquidity"/>
    <s v="Fund Diversification"/>
    <s v="Safe Investment"/>
    <s v="Risk Free"/>
    <s v="Internet"/>
    <x v="3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s v="3-5 years"/>
    <s v="Monthly"/>
    <s v="20%-30%"/>
    <x v="1"/>
    <s v="Retirement Plan"/>
    <s v="Capital Appreciation"/>
    <s v="Better Returns"/>
    <s v="Assured Returns"/>
    <s v="High Interest Rates"/>
    <s v="Financial Consultants"/>
    <x v="1"/>
  </r>
  <r>
    <s v="Male"/>
    <n v="21"/>
    <s v="Yes"/>
    <n v="2"/>
    <n v="3"/>
    <n v="7"/>
    <n v="4"/>
    <n v="6"/>
    <n v="1"/>
    <n v="5"/>
    <s v="Yes"/>
    <s v="Risk"/>
    <s v="Capital Appreciation"/>
    <s v="Wealth Creation"/>
    <s v="3-5 years"/>
    <s v="Monthly"/>
    <s v="20%-30%"/>
    <x v="0"/>
    <s v="Retirement Plan"/>
    <s v="Capital Appreciation"/>
    <s v="Better Returns"/>
    <s v="Assured Returns"/>
    <s v="Risk Free"/>
    <s v="Newspapers and Magazines"/>
    <x v="0"/>
  </r>
  <r>
    <s v="Male"/>
    <n v="35"/>
    <s v="Yes"/>
    <n v="2"/>
    <n v="4"/>
    <n v="7"/>
    <n v="5"/>
    <n v="3"/>
    <n v="1"/>
    <n v="6"/>
    <s v="Yes"/>
    <s v="Returns"/>
    <s v="Growth"/>
    <s v="Savings for Future"/>
    <s v="1-3 years"/>
    <s v="Weekly"/>
    <s v="20%-30%"/>
    <x v="1"/>
    <s v="Retirement Plan"/>
    <s v="Capital Appreciation"/>
    <s v="Fund Diversification"/>
    <s v="Safe Investment"/>
    <s v="Fixed Returns"/>
    <s v="Television"/>
    <x v="1"/>
  </r>
  <r>
    <s v="Male"/>
    <n v="31"/>
    <s v="Yes"/>
    <n v="1"/>
    <n v="3"/>
    <n v="7"/>
    <n v="4"/>
    <n v="5"/>
    <n v="2"/>
    <n v="6"/>
    <s v="Yes"/>
    <s v="Returns"/>
    <s v="Capital Appreciation"/>
    <s v="Wealth Creation"/>
    <s v="3-5 years"/>
    <s v="Monthly"/>
    <s v="30%-40%"/>
    <x v="2"/>
    <s v="Retirement Plan"/>
    <s v="Capital Appreciation"/>
    <s v="Fund Diversification"/>
    <s v="Assured Returns"/>
    <s v="Fixed Returns"/>
    <s v="Newspapers and Magazines"/>
    <x v="4"/>
  </r>
  <r>
    <s v="Female"/>
    <n v="35"/>
    <s v="Yes"/>
    <n v="2"/>
    <n v="4"/>
    <n v="7"/>
    <n v="5"/>
    <n v="3"/>
    <n v="1"/>
    <n v="6"/>
    <s v="Yes"/>
    <s v="Risk"/>
    <s v="Growth"/>
    <s v="Savings for Future"/>
    <s v="3-5 years"/>
    <s v="Monthly"/>
    <s v="20%-30%"/>
    <x v="0"/>
    <s v="Retirement Plan"/>
    <s v="Capital Appreciation"/>
    <s v="Better Returns"/>
    <s v="Assured Returns"/>
    <s v="Risk Free"/>
    <s v="Financial Consultants"/>
    <x v="0"/>
  </r>
  <r>
    <s v="Male"/>
    <n v="29"/>
    <s v="Yes"/>
    <n v="2"/>
    <n v="5"/>
    <n v="7"/>
    <n v="6"/>
    <n v="3"/>
    <n v="1"/>
    <n v="4"/>
    <s v="Yes"/>
    <s v="Risk"/>
    <s v="Capital Appreciation"/>
    <s v="Wealth Creation"/>
    <s v="1-3 years"/>
    <s v="Monthly"/>
    <s v="20%-30%"/>
    <x v="0"/>
    <s v="Retirement Plan"/>
    <s v="Capital Appreciation"/>
    <s v="Fund Diversification"/>
    <s v="Assured Returns"/>
    <s v="Fixed Returns"/>
    <s v="Financial Consultants"/>
    <x v="3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s v="1-3 years"/>
    <s v="Weekly"/>
    <s v="20%-30%"/>
    <x v="0"/>
    <s v="Education"/>
    <s v="Dividend"/>
    <s v="Better Returns"/>
    <s v="Safe Investment"/>
    <s v="Risk Free"/>
    <s v="Internet"/>
    <x v="0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s v="1-3 years"/>
    <s v="Monthly"/>
    <s v="20%-30%"/>
    <x v="0"/>
    <s v="Retirement Plan"/>
    <s v="Capital Appreciation"/>
    <s v="Fund Diversification"/>
    <s v="Assured Returns"/>
    <s v="Risk Free"/>
    <s v="Newspapers and Magazines"/>
    <x v="3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x v="2"/>
    <s v="Health Care"/>
    <s v="Dividend"/>
    <s v="Better Returns"/>
    <s v="Assured Returns"/>
    <s v="Risk Free"/>
    <s v="Financial Consultants"/>
    <x v="5"/>
  </r>
  <r>
    <s v="Male"/>
    <n v="27"/>
    <s v="Yes"/>
    <n v="2"/>
    <n v="3"/>
    <n v="7"/>
    <n v="5"/>
    <n v="4"/>
    <n v="1"/>
    <n v="6"/>
    <s v="Yes"/>
    <s v="Returns"/>
    <s v="Capital Appreciation"/>
    <s v="Wealth Creation"/>
    <s v="1-3 years"/>
    <s v="Monthly"/>
    <s v="20%-30%"/>
    <x v="0"/>
    <s v="Health Care"/>
    <s v="Capital Appreciation"/>
    <s v="Fund Diversification"/>
    <s v="Assured Returns"/>
    <s v="Risk Free"/>
    <s v="Newspapers and Magazines"/>
    <x v="3"/>
  </r>
  <r>
    <s v="Female"/>
    <n v="28"/>
    <s v="Yes"/>
    <n v="3"/>
    <n v="2"/>
    <n v="7"/>
    <n v="5"/>
    <n v="4"/>
    <n v="1"/>
    <n v="6"/>
    <s v="Yes"/>
    <s v="Risk"/>
    <s v="Growth"/>
    <s v="Wealth Creation"/>
    <s v="1-3 years"/>
    <s v="Monthly"/>
    <s v="20%-30%"/>
    <x v="2"/>
    <s v="Health Care"/>
    <s v="Capital Appreciation"/>
    <s v="Fund Diversification"/>
    <s v="Assured Returns"/>
    <s v="Risk Free"/>
    <s v="Television"/>
    <x v="5"/>
  </r>
  <r>
    <s v="Male"/>
    <n v="27"/>
    <s v="Yes"/>
    <n v="3"/>
    <n v="2"/>
    <n v="7"/>
    <n v="4"/>
    <n v="5"/>
    <n v="1"/>
    <n v="6"/>
    <s v="Yes"/>
    <s v="Returns"/>
    <s v="Capital Appreciation"/>
    <s v="Wealth Creation"/>
    <s v="1-3 years"/>
    <s v="Monthly"/>
    <s v="20%-30%"/>
    <x v="0"/>
    <s v="Retirement Plan"/>
    <s v="Capital Appreciation"/>
    <s v="Better Returns"/>
    <s v="Assured Returns"/>
    <s v="Risk Free"/>
    <s v="Financial Consultants"/>
    <x v="0"/>
  </r>
  <r>
    <s v="Male"/>
    <n v="29"/>
    <s v="Yes"/>
    <n v="3"/>
    <n v="2"/>
    <n v="7"/>
    <n v="4"/>
    <n v="5"/>
    <n v="1"/>
    <n v="6"/>
    <s v="Yes"/>
    <s v="Risk"/>
    <s v="Capital Appreciation"/>
    <s v="Wealth Creation"/>
    <s v="1-3 years"/>
    <s v="Monthly"/>
    <s v="20%-30%"/>
    <x v="0"/>
    <s v="Retirement Plan"/>
    <s v="Capital Appreciation"/>
    <s v="Better Returns"/>
    <s v="Assured Returns"/>
    <s v="Risk Free"/>
    <s v="Newspapers and Magazines"/>
    <x v="0"/>
  </r>
  <r>
    <s v="Male"/>
    <n v="26"/>
    <s v="Yes"/>
    <n v="3"/>
    <n v="4"/>
    <n v="6"/>
    <n v="5"/>
    <n v="1"/>
    <n v="2"/>
    <n v="7"/>
    <s v="Yes"/>
    <s v="Risk"/>
    <s v="Capital Appreciation"/>
    <s v="Wealth Creation"/>
    <s v="3-5 years"/>
    <s v="Monthly"/>
    <s v="20%-30%"/>
    <x v="2"/>
    <s v="Health Care"/>
    <s v="Capital Appreciation"/>
    <s v="Fund Diversification"/>
    <s v="Assured Returns"/>
    <s v="Risk Free"/>
    <s v="Newspapers and Magazines"/>
    <x v="5"/>
  </r>
  <r>
    <s v="Male"/>
    <n v="29"/>
    <s v="Yes"/>
    <n v="2"/>
    <n v="4"/>
    <n v="7"/>
    <n v="5"/>
    <n v="3"/>
    <n v="1"/>
    <n v="6"/>
    <s v="Yes"/>
    <s v="Returns"/>
    <s v="Growth"/>
    <s v="Wealth Creation"/>
    <s v="3-5 years"/>
    <s v="Weekly"/>
    <s v="20%-30%"/>
    <x v="0"/>
    <s v="Retirement Plan"/>
    <s v="Capital Appreciation"/>
    <s v="Better Returns"/>
    <s v="Assured Returns"/>
    <s v="Fixed Returns"/>
    <s v="Financial Consultants"/>
    <x v="0"/>
  </r>
  <r>
    <s v="Female"/>
    <n v="24"/>
    <s v="Yes"/>
    <n v="2"/>
    <n v="4"/>
    <n v="5"/>
    <n v="6"/>
    <n v="3"/>
    <n v="1"/>
    <n v="7"/>
    <s v="Yes"/>
    <s v="Risk"/>
    <s v="Capital Appreciation"/>
    <s v="Wealth Creation"/>
    <s v="3-5 years"/>
    <s v="Monthly"/>
    <s v="20%-30%"/>
    <x v="1"/>
    <s v="Health Care"/>
    <s v="Capital Appreciation"/>
    <s v="Better Returns"/>
    <s v="Assured Returns"/>
    <s v="Risk Free"/>
    <s v="Newspapers and Magazines"/>
    <x v="1"/>
  </r>
  <r>
    <s v="Male"/>
    <n v="27"/>
    <s v="Yes"/>
    <n v="3"/>
    <n v="4"/>
    <n v="6"/>
    <n v="5"/>
    <n v="2"/>
    <n v="1"/>
    <n v="7"/>
    <s v="Yes"/>
    <s v="Returns"/>
    <s v="Capital Appreciation"/>
    <s v="Wealth Creation"/>
    <s v="3-5 years"/>
    <s v="Monthly"/>
    <s v="20%-30%"/>
    <x v="0"/>
    <s v="Retirement Plan"/>
    <s v="Capital Appreciation"/>
    <s v="Better Returns"/>
    <s v="Assured Returns"/>
    <s v="Risk Free"/>
    <s v="Financial Consultants"/>
    <x v="0"/>
  </r>
  <r>
    <s v="Male"/>
    <n v="25"/>
    <s v="Yes"/>
    <n v="2"/>
    <n v="4"/>
    <n v="6"/>
    <n v="5"/>
    <n v="3"/>
    <n v="1"/>
    <n v="7"/>
    <s v="Yes"/>
    <s v="Risk"/>
    <s v="Growth"/>
    <s v="Savings for Future"/>
    <s v="3-5 years"/>
    <s v="Weekly"/>
    <s v="20%-30%"/>
    <x v="3"/>
    <s v="Health Care"/>
    <s v="Liquidity"/>
    <s v="Better Returns"/>
    <s v="Assured Returns"/>
    <s v="Risk Free"/>
    <s v="Financial Consultants"/>
    <x v="6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s v="3-5 years"/>
    <s v="Monthly"/>
    <s v="30%-40%"/>
    <x v="3"/>
    <s v="Retirement Plan"/>
    <s v="Capital Appreciation"/>
    <s v="Better Returns"/>
    <s v="Assured Returns"/>
    <s v="Risk Free"/>
    <s v="Newspapers and Magazines"/>
    <x v="6"/>
  </r>
  <r>
    <s v="Female"/>
    <n v="32"/>
    <s v="Yes"/>
    <n v="3"/>
    <n v="4"/>
    <n v="7"/>
    <n v="5"/>
    <n v="1"/>
    <n v="2"/>
    <n v="6"/>
    <s v="Yes"/>
    <s v="Risk"/>
    <s v="Growth"/>
    <s v="Wealth Creation"/>
    <s v="3-5 years"/>
    <s v="Monthly"/>
    <s v="20%-30%"/>
    <x v="0"/>
    <s v="Retirement Plan"/>
    <s v="Capital Appreciation"/>
    <s v="Better Returns"/>
    <s v="Assured Returns"/>
    <s v="Fixed Returns"/>
    <s v="Financial Consultants"/>
    <x v="0"/>
  </r>
  <r>
    <s v="Male"/>
    <n v="26"/>
    <s v="Yes"/>
    <n v="3"/>
    <n v="4"/>
    <n v="6"/>
    <n v="5"/>
    <n v="1"/>
    <n v="2"/>
    <n v="7"/>
    <s v="Yes"/>
    <s v="Returns"/>
    <s v="Capital Appreciation"/>
    <s v="Wealth Creation"/>
    <s v="3-5 years"/>
    <s v="Monthly"/>
    <s v="20%-30%"/>
    <x v="0"/>
    <s v="Retirement Plan"/>
    <s v="Dividend"/>
    <s v="Fund Diversification"/>
    <s v="Assured Returns"/>
    <s v="Fixed Returns"/>
    <s v="Financial Consultants"/>
    <x v="3"/>
  </r>
  <r>
    <s v="Male"/>
    <n v="31"/>
    <s v="Yes"/>
    <n v="2"/>
    <n v="3"/>
    <n v="7"/>
    <n v="6"/>
    <n v="4"/>
    <n v="1"/>
    <n v="5"/>
    <s v="Yes"/>
    <s v="Risk"/>
    <s v="Growth"/>
    <s v="Savings for Future"/>
    <s v="1-3 years"/>
    <s v="Monthly"/>
    <s v="20%-30%"/>
    <x v="2"/>
    <s v="Health Care"/>
    <s v="Capital Appreciation"/>
    <s v="Fund Diversification"/>
    <s v="Safe Investment"/>
    <s v="Fixed Returns"/>
    <s v="Television"/>
    <x v="4"/>
  </r>
  <r>
    <s v="Male"/>
    <n v="29"/>
    <s v="Yes"/>
    <n v="2"/>
    <n v="3"/>
    <n v="6"/>
    <n v="5"/>
    <n v="1"/>
    <n v="4"/>
    <n v="7"/>
    <s v="Yes"/>
    <s v="Returns"/>
    <s v="Capital Appreciation"/>
    <s v="Wealth Creation"/>
    <s v="1-3 years"/>
    <s v="Monthly"/>
    <s v="20%-30%"/>
    <x v="1"/>
    <s v="Retirement Plan"/>
    <s v="Capital Appreciation"/>
    <s v="Better Returns"/>
    <s v="Assured Returns"/>
    <s v="Risk Free"/>
    <s v="Television"/>
    <x v="1"/>
  </r>
  <r>
    <s v="Female"/>
    <n v="34"/>
    <s v="Yes"/>
    <n v="5"/>
    <n v="4"/>
    <n v="3"/>
    <n v="2"/>
    <n v="7"/>
    <n v="1"/>
    <n v="6"/>
    <s v="Yes"/>
    <s v="Returns"/>
    <s v="Income"/>
    <s v="Returns"/>
    <s v="3-5 years"/>
    <s v="Monthly"/>
    <s v="10%-20%"/>
    <x v="0"/>
    <s v="Retirement Plan"/>
    <s v="Capital Appreciation"/>
    <s v="Tax Benefits"/>
    <s v="Safe Investment"/>
    <s v="Fixed Returns"/>
    <s v="Newspapers and Magazines"/>
    <x v="7"/>
  </r>
  <r>
    <s v="Male"/>
    <n v="27"/>
    <s v="Yes"/>
    <n v="4"/>
    <n v="5"/>
    <n v="1"/>
    <n v="2"/>
    <n v="7"/>
    <n v="3"/>
    <n v="6"/>
    <s v="No"/>
    <s v="Returns"/>
    <s v="Growth"/>
    <s v="Wealth Creation"/>
    <s v="1-3 years"/>
    <s v="Monthly"/>
    <s v="10%-20%"/>
    <x v="0"/>
    <s v="Education"/>
    <s v="Capital Appreciation"/>
    <s v="Tax Benefits"/>
    <s v="Safe Investment"/>
    <s v="Fixed Returns"/>
    <s v="Television"/>
    <x v="7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s v="3-5 years"/>
    <s v="Monthly"/>
    <s v="20%-30%"/>
    <x v="2"/>
    <s v="Retirement Plan"/>
    <s v="Capital Appreciation"/>
    <s v="Better Returns"/>
    <s v="Assured Returns"/>
    <s v="Fixed Returns"/>
    <s v="Financial Consultants"/>
    <x v="4"/>
  </r>
  <r>
    <s v="Male"/>
    <n v="27"/>
    <s v="Yes"/>
    <n v="2"/>
    <n v="4"/>
    <n v="7"/>
    <n v="5"/>
    <n v="1"/>
    <n v="3"/>
    <n v="6"/>
    <s v="Yes"/>
    <s v="Returns"/>
    <s v="Capital Appreciation"/>
    <s v="Wealth Creation"/>
    <s v="3-5 years"/>
    <s v="Monthly"/>
    <s v="30%-40%"/>
    <x v="1"/>
    <s v="Health Care"/>
    <s v="Capital Appreciation"/>
    <s v="Fund Diversification"/>
    <s v="Assured Returns"/>
    <s v="Fixed Returns"/>
    <s v="Newspapers and Magazines"/>
    <x v="1"/>
  </r>
  <r>
    <s v="Male"/>
    <n v="26"/>
    <s v="Yes"/>
    <n v="2"/>
    <n v="3"/>
    <n v="6"/>
    <n v="4"/>
    <n v="1"/>
    <n v="5"/>
    <n v="7"/>
    <s v="Yes"/>
    <s v="Returns"/>
    <s v="Capital Appreciation"/>
    <s v="Returns"/>
    <s v="1-3 years"/>
    <s v="Monthly"/>
    <s v="20%-30%"/>
    <x v="2"/>
    <s v="Education"/>
    <s v="Dividend"/>
    <s v="Better Returns"/>
    <s v="Safe Investment"/>
    <s v="Risk Free"/>
    <s v="Newspapers and Magazines"/>
    <x v="5"/>
  </r>
  <r>
    <s v="Male"/>
    <n v="27"/>
    <s v="Yes"/>
    <n v="2"/>
    <n v="3"/>
    <n v="6"/>
    <n v="5"/>
    <n v="4"/>
    <n v="1"/>
    <n v="7"/>
    <s v="Yes"/>
    <s v="Returns"/>
    <s v="Capital Appreciation"/>
    <s v="Wealth Creation"/>
    <s v="1-3 years"/>
    <s v="Weekly"/>
    <s v="20%-30%"/>
    <x v="0"/>
    <s v="Health Care"/>
    <s v="Capital Appreciation"/>
    <s v="Better Returns"/>
    <s v="Safe Investment"/>
    <s v="Fixed Returns"/>
    <s v="Financial Consultants"/>
    <x v="0"/>
  </r>
  <r>
    <s v="Male"/>
    <n v="30"/>
    <s v="Yes"/>
    <n v="1"/>
    <n v="4"/>
    <n v="6"/>
    <n v="5"/>
    <n v="3"/>
    <n v="2"/>
    <n v="7"/>
    <s v="Yes"/>
    <s v="Risk"/>
    <s v="Growth"/>
    <s v="Wealth Creation"/>
    <s v="3-5 years"/>
    <s v="Monthly"/>
    <s v="20%-30%"/>
    <x v="2"/>
    <s v="Health Care"/>
    <s v="Capital Appreciation"/>
    <s v="Better Returns"/>
    <s v="Assured Returns"/>
    <s v="Fixed Returns"/>
    <s v="Financial Consultants"/>
    <x v="4"/>
  </r>
  <r>
    <s v="Male"/>
    <n v="30"/>
    <s v="Yes"/>
    <n v="2"/>
    <n v="4"/>
    <n v="7"/>
    <n v="5"/>
    <n v="1"/>
    <n v="3"/>
    <n v="6"/>
    <s v="Yes"/>
    <s v="Returns"/>
    <s v="Capital Appreciation"/>
    <s v="Wealth Creation"/>
    <s v="1-3 years"/>
    <s v="Monthly"/>
    <s v="20%-30%"/>
    <x v="1"/>
    <s v="Retirement Plan"/>
    <s v="Capital Appreciation"/>
    <s v="Better Returns"/>
    <s v="Assured Returns"/>
    <s v="Risk Free"/>
    <s v="Newspapers and Magazines"/>
    <x v="1"/>
  </r>
  <r>
    <s v="Male"/>
    <n v="25"/>
    <s v="Yes"/>
    <n v="5"/>
    <n v="4"/>
    <n v="7"/>
    <n v="6"/>
    <n v="1"/>
    <n v="2"/>
    <n v="3"/>
    <s v="Yes"/>
    <s v="Risk"/>
    <s v="Growth"/>
    <s v="Savings for Future"/>
    <s v="3-5 years"/>
    <s v="Monthly"/>
    <s v="30%-40%"/>
    <x v="3"/>
    <s v="Health Care"/>
    <s v="Capital Appreciation"/>
    <s v="Better Returns"/>
    <s v="Safe Investment"/>
    <s v="Fixed Returns"/>
    <s v="Financial Consultants"/>
    <x v="6"/>
  </r>
  <r>
    <s v="Male"/>
    <n v="31"/>
    <s v="Yes"/>
    <n v="2"/>
    <n v="4"/>
    <n v="7"/>
    <n v="5"/>
    <n v="3"/>
    <n v="1"/>
    <n v="6"/>
    <s v="Yes"/>
    <s v="Risk"/>
    <s v="Growth"/>
    <s v="Wealth Creation"/>
    <s v="1-3 years"/>
    <s v="Weekly"/>
    <s v="20%-30%"/>
    <x v="1"/>
    <s v="Health Care"/>
    <s v="Dividend"/>
    <s v="Fund Diversification"/>
    <s v="Assured Returns"/>
    <s v="Fixed Returns"/>
    <s v="Newspapers and Magazines"/>
    <x v="2"/>
  </r>
  <r>
    <s v="Male"/>
    <n v="29"/>
    <s v="Yes"/>
    <n v="4"/>
    <n v="3"/>
    <n v="5"/>
    <n v="7"/>
    <n v="2"/>
    <n v="1"/>
    <n v="6"/>
    <s v="Yes"/>
    <s v="Returns"/>
    <s v="Capital Appreciation"/>
    <s v="Wealth Creation"/>
    <s v="3-5 years"/>
    <s v="Monthly"/>
    <s v="20%-30%"/>
    <x v="2"/>
    <s v="Retirement Plan"/>
    <s v="Dividend"/>
    <s v="Better Returns"/>
    <s v="Safe Investment"/>
    <s v="Fixed Returns"/>
    <s v="Financial Consultants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1BCE1-B76B-425A-B955-722323004AF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venue" fld="17" subtotal="count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13F2E-6D6A-4248-A5E3-CFAC53F73C5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venue" fld="17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AAA2A-4760-4211-B33A-E56363192A7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J9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9">
        <item x="0"/>
        <item x="1"/>
        <item x="2"/>
        <item x="4"/>
        <item x="3"/>
        <item x="6"/>
        <item x="5"/>
        <item x="7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Avenue" fld="17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D2FA-DF15-4232-87CA-3FAA1C072B37}">
  <dimension ref="A3:B8"/>
  <sheetViews>
    <sheetView tabSelected="1" workbookViewId="0">
      <selection activeCell="B4" sqref="B4"/>
    </sheetView>
  </sheetViews>
  <sheetFormatPr defaultRowHeight="14.4" x14ac:dyDescent="0.3"/>
  <cols>
    <col min="1" max="1" width="18.44140625" bestFit="1" customWidth="1"/>
    <col min="2" max="2" width="14.21875" bestFit="1" customWidth="1"/>
  </cols>
  <sheetData>
    <row r="3" spans="1:2" x14ac:dyDescent="0.3">
      <c r="A3" s="3" t="s">
        <v>68</v>
      </c>
      <c r="B3" t="s">
        <v>70</v>
      </c>
    </row>
    <row r="4" spans="1:2" x14ac:dyDescent="0.3">
      <c r="A4" s="4" t="s">
        <v>49</v>
      </c>
      <c r="B4">
        <v>10</v>
      </c>
    </row>
    <row r="5" spans="1:2" x14ac:dyDescent="0.3">
      <c r="A5" s="4" t="s">
        <v>65</v>
      </c>
      <c r="B5">
        <v>9</v>
      </c>
    </row>
    <row r="6" spans="1:2" x14ac:dyDescent="0.3">
      <c r="A6" s="4" t="s">
        <v>32</v>
      </c>
      <c r="B6">
        <v>18</v>
      </c>
    </row>
    <row r="7" spans="1:2" x14ac:dyDescent="0.3">
      <c r="A7" s="4" t="s">
        <v>67</v>
      </c>
      <c r="B7">
        <v>3</v>
      </c>
    </row>
    <row r="8" spans="1:2" x14ac:dyDescent="0.3">
      <c r="A8" s="4" t="s">
        <v>69</v>
      </c>
      <c r="B8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A71D-DCD3-49C3-BE95-2B8F0E0CA185}">
  <dimension ref="A3:B8"/>
  <sheetViews>
    <sheetView workbookViewId="0">
      <selection activeCell="A28" sqref="A28"/>
    </sheetView>
  </sheetViews>
  <sheetFormatPr defaultRowHeight="14.4" x14ac:dyDescent="0.3"/>
  <cols>
    <col min="1" max="1" width="18.44140625" bestFit="1" customWidth="1"/>
    <col min="2" max="2" width="14.21875" bestFit="1" customWidth="1"/>
    <col min="3" max="3" width="12.21875" bestFit="1" customWidth="1"/>
    <col min="4" max="4" width="17.77734375" bestFit="1" customWidth="1"/>
    <col min="5" max="5" width="5.6640625" bestFit="1" customWidth="1"/>
    <col min="6" max="6" width="8.5546875" bestFit="1" customWidth="1"/>
    <col min="7" max="7" width="10.88671875" bestFit="1" customWidth="1"/>
    <col min="8" max="8" width="10.5546875" bestFit="1" customWidth="1"/>
  </cols>
  <sheetData>
    <row r="3" spans="1:2" x14ac:dyDescent="0.3">
      <c r="A3" s="3" t="s">
        <v>68</v>
      </c>
      <c r="B3" t="s">
        <v>70</v>
      </c>
    </row>
    <row r="4" spans="1:2" x14ac:dyDescent="0.3">
      <c r="A4" s="4" t="s">
        <v>49</v>
      </c>
      <c r="B4">
        <v>10</v>
      </c>
    </row>
    <row r="5" spans="1:2" x14ac:dyDescent="0.3">
      <c r="A5" s="4" t="s">
        <v>65</v>
      </c>
      <c r="B5">
        <v>9</v>
      </c>
    </row>
    <row r="6" spans="1:2" x14ac:dyDescent="0.3">
      <c r="A6" s="4" t="s">
        <v>32</v>
      </c>
      <c r="B6">
        <v>18</v>
      </c>
    </row>
    <row r="7" spans="1:2" x14ac:dyDescent="0.3">
      <c r="A7" s="4" t="s">
        <v>67</v>
      </c>
      <c r="B7">
        <v>3</v>
      </c>
    </row>
    <row r="8" spans="1:2" x14ac:dyDescent="0.3">
      <c r="A8" s="4" t="s">
        <v>69</v>
      </c>
      <c r="B8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95D8-A87A-4A29-9A30-99FCB8A78FC9}">
  <dimension ref="A3:J9"/>
  <sheetViews>
    <sheetView workbookViewId="0">
      <selection activeCell="D6" sqref="D6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18.44140625" bestFit="1" customWidth="1"/>
    <col min="4" max="4" width="8.44140625" bestFit="1" customWidth="1"/>
    <col min="5" max="5" width="12.21875" bestFit="1" customWidth="1"/>
    <col min="6" max="6" width="17.77734375" bestFit="1" customWidth="1"/>
    <col min="7" max="7" width="5.6640625" bestFit="1" customWidth="1"/>
    <col min="8" max="8" width="8.5546875" bestFit="1" customWidth="1"/>
    <col min="9" max="9" width="10.88671875" bestFit="1" customWidth="1"/>
    <col min="10" max="10" width="10.5546875" bestFit="1" customWidth="1"/>
  </cols>
  <sheetData>
    <row r="3" spans="1:10" x14ac:dyDescent="0.3">
      <c r="A3" s="3" t="s">
        <v>70</v>
      </c>
      <c r="B3" s="3" t="s">
        <v>72</v>
      </c>
    </row>
    <row r="4" spans="1:10" x14ac:dyDescent="0.3">
      <c r="A4" s="3" t="s">
        <v>68</v>
      </c>
      <c r="B4" t="s">
        <v>34</v>
      </c>
      <c r="C4" t="s">
        <v>27</v>
      </c>
      <c r="D4" t="s">
        <v>43</v>
      </c>
      <c r="E4" t="s">
        <v>36</v>
      </c>
      <c r="F4" t="s">
        <v>56</v>
      </c>
      <c r="G4" t="s">
        <v>73</v>
      </c>
      <c r="H4" t="s">
        <v>59</v>
      </c>
      <c r="I4" t="s">
        <v>50</v>
      </c>
      <c r="J4" t="s">
        <v>69</v>
      </c>
    </row>
    <row r="5" spans="1:10" x14ac:dyDescent="0.3">
      <c r="A5" s="4" t="s">
        <v>49</v>
      </c>
      <c r="C5">
        <v>8</v>
      </c>
      <c r="D5">
        <v>2</v>
      </c>
      <c r="J5">
        <v>10</v>
      </c>
    </row>
    <row r="6" spans="1:10" x14ac:dyDescent="0.3">
      <c r="A6" s="4" t="s">
        <v>65</v>
      </c>
      <c r="E6">
        <v>5</v>
      </c>
      <c r="H6">
        <v>4</v>
      </c>
      <c r="J6">
        <v>9</v>
      </c>
    </row>
    <row r="7" spans="1:10" x14ac:dyDescent="0.3">
      <c r="A7" s="4" t="s">
        <v>32</v>
      </c>
      <c r="B7">
        <v>11</v>
      </c>
      <c r="F7">
        <v>5</v>
      </c>
      <c r="I7">
        <v>2</v>
      </c>
      <c r="J7">
        <v>18</v>
      </c>
    </row>
    <row r="8" spans="1:10" x14ac:dyDescent="0.3">
      <c r="A8" s="4" t="s">
        <v>67</v>
      </c>
      <c r="G8">
        <v>3</v>
      </c>
      <c r="J8">
        <v>3</v>
      </c>
    </row>
    <row r="9" spans="1:10" x14ac:dyDescent="0.3">
      <c r="A9" s="4" t="s">
        <v>69</v>
      </c>
      <c r="B9">
        <v>11</v>
      </c>
      <c r="C9">
        <v>8</v>
      </c>
      <c r="D9">
        <v>2</v>
      </c>
      <c r="E9">
        <v>5</v>
      </c>
      <c r="F9">
        <v>5</v>
      </c>
      <c r="G9">
        <v>3</v>
      </c>
      <c r="H9">
        <v>4</v>
      </c>
      <c r="I9">
        <v>2</v>
      </c>
      <c r="J9">
        <v>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6AF5-23F9-42A1-8556-AF702E4C0DB2}">
  <dimension ref="A1:AC41"/>
  <sheetViews>
    <sheetView workbookViewId="0">
      <selection activeCell="N5" sqref="N5"/>
    </sheetView>
  </sheetViews>
  <sheetFormatPr defaultRowHeight="14.4" x14ac:dyDescent="0.3"/>
  <cols>
    <col min="1" max="1" width="7" style="2" bestFit="1" customWidth="1"/>
    <col min="2" max="2" width="3.88671875" style="2" bestFit="1" customWidth="1"/>
    <col min="3" max="3" width="17.5546875" style="2" bestFit="1" customWidth="1"/>
    <col min="4" max="5" width="12.109375" style="2" bestFit="1" customWidth="1"/>
    <col min="6" max="6" width="10.33203125" style="2" bestFit="1" customWidth="1"/>
    <col min="7" max="7" width="16.77734375" style="2" bestFit="1" customWidth="1"/>
    <col min="8" max="8" width="13.109375" style="2" bestFit="1" customWidth="1"/>
    <col min="9" max="9" width="4.21875" style="2" bestFit="1" customWidth="1"/>
    <col min="10" max="10" width="4.77734375" style="2" bestFit="1" customWidth="1"/>
    <col min="11" max="11" width="12.33203125" style="2" bestFit="1" customWidth="1"/>
    <col min="12" max="12" width="12.6640625" style="2" bestFit="1" customWidth="1"/>
    <col min="13" max="13" width="17.44140625" style="2" bestFit="1" customWidth="1"/>
    <col min="14" max="14" width="15.21875" style="2" bestFit="1" customWidth="1"/>
    <col min="15" max="15" width="15.109375" style="2" bestFit="1" customWidth="1"/>
    <col min="16" max="16" width="12.5546875" style="2" bestFit="1" customWidth="1"/>
    <col min="17" max="17" width="8.77734375" style="2" bestFit="1" customWidth="1"/>
    <col min="18" max="18" width="18.44140625" style="2" bestFit="1" customWidth="1"/>
    <col min="19" max="19" width="28" style="2" bestFit="1" customWidth="1"/>
    <col min="20" max="20" width="17.44140625" style="2" bestFit="1" customWidth="1"/>
    <col min="21" max="21" width="16.88671875" style="2" bestFit="1" customWidth="1"/>
    <col min="22" max="22" width="14.21875" style="2" bestFit="1" customWidth="1"/>
    <col min="23" max="23" width="16.109375" style="2" bestFit="1" customWidth="1"/>
    <col min="24" max="24" width="23.5546875" style="2" bestFit="1" customWidth="1"/>
    <col min="25" max="25" width="16.88671875" style="2" bestFit="1" customWidth="1"/>
    <col min="26" max="29" width="8.88671875" style="2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71</v>
      </c>
    </row>
    <row r="2" spans="1:25" x14ac:dyDescent="0.3">
      <c r="A2" s="2" t="s">
        <v>24</v>
      </c>
      <c r="B2" s="2">
        <v>34</v>
      </c>
      <c r="C2" s="2" t="s">
        <v>25</v>
      </c>
      <c r="D2" s="2">
        <v>1</v>
      </c>
      <c r="E2" s="2">
        <v>2</v>
      </c>
      <c r="F2" s="2">
        <v>5</v>
      </c>
      <c r="G2" s="2">
        <v>3</v>
      </c>
      <c r="H2" s="2">
        <v>7</v>
      </c>
      <c r="I2" s="2">
        <v>6</v>
      </c>
      <c r="J2" s="2">
        <v>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27</v>
      </c>
      <c r="U2" s="2" t="s">
        <v>34</v>
      </c>
      <c r="V2" s="2" t="s">
        <v>35</v>
      </c>
      <c r="W2" s="2" t="s">
        <v>36</v>
      </c>
      <c r="X2" s="2" t="s">
        <v>37</v>
      </c>
      <c r="Y2" s="2" t="str" cm="1">
        <f t="array" ref="Y2">_xlfn.IFS(R2="Equity",T2,R2="Mutual Fund",U2,R2="Government Bonds",V2,R2="Fixed Deposits",W2)</f>
        <v>Better Returns</v>
      </c>
    </row>
    <row r="3" spans="1:25" x14ac:dyDescent="0.3">
      <c r="A3" s="2" t="s">
        <v>24</v>
      </c>
      <c r="B3" s="2">
        <v>23</v>
      </c>
      <c r="C3" s="2" t="s">
        <v>25</v>
      </c>
      <c r="D3" s="2">
        <v>4</v>
      </c>
      <c r="E3" s="2">
        <v>3</v>
      </c>
      <c r="F3" s="2">
        <v>2</v>
      </c>
      <c r="G3" s="2">
        <v>1</v>
      </c>
      <c r="H3" s="2">
        <v>5</v>
      </c>
      <c r="I3" s="2">
        <v>6</v>
      </c>
      <c r="J3" s="2">
        <v>7</v>
      </c>
      <c r="K3" s="2" t="s">
        <v>38</v>
      </c>
      <c r="L3" s="2" t="s">
        <v>39</v>
      </c>
      <c r="M3" s="2" t="s">
        <v>27</v>
      </c>
      <c r="N3" s="2" t="s">
        <v>28</v>
      </c>
      <c r="O3" s="2" t="s">
        <v>40</v>
      </c>
      <c r="P3" s="2" t="s">
        <v>41</v>
      </c>
      <c r="Q3" s="2" t="s">
        <v>31</v>
      </c>
      <c r="R3" s="2" t="s">
        <v>32</v>
      </c>
      <c r="S3" s="2" t="s">
        <v>42</v>
      </c>
      <c r="T3" s="2" t="s">
        <v>43</v>
      </c>
      <c r="U3" s="2" t="s">
        <v>34</v>
      </c>
      <c r="V3" s="2" t="s">
        <v>35</v>
      </c>
      <c r="W3" s="2" t="s">
        <v>44</v>
      </c>
      <c r="X3" s="2" t="s">
        <v>45</v>
      </c>
      <c r="Y3" s="2" t="str" cm="1">
        <f t="array" ref="Y3">_xlfn.IFS(R3="Equity",T3,R3="Mutual Fund",U3,R3="Government Bonds",V3,R3="Fixed Deposits",W3)</f>
        <v>Better Returns</v>
      </c>
    </row>
    <row r="4" spans="1:25" x14ac:dyDescent="0.3">
      <c r="A4" s="2" t="s">
        <v>46</v>
      </c>
      <c r="B4" s="2">
        <v>30</v>
      </c>
      <c r="C4" s="2" t="s">
        <v>25</v>
      </c>
      <c r="D4" s="2">
        <v>3</v>
      </c>
      <c r="E4" s="2">
        <v>6</v>
      </c>
      <c r="F4" s="2">
        <v>4</v>
      </c>
      <c r="G4" s="2">
        <v>2</v>
      </c>
      <c r="H4" s="2">
        <v>5</v>
      </c>
      <c r="I4" s="2">
        <v>1</v>
      </c>
      <c r="J4" s="2">
        <v>7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47</v>
      </c>
      <c r="P4" s="2" t="s">
        <v>48</v>
      </c>
      <c r="Q4" s="2" t="s">
        <v>31</v>
      </c>
      <c r="R4" s="2" t="s">
        <v>49</v>
      </c>
      <c r="S4" s="2" t="s">
        <v>33</v>
      </c>
      <c r="T4" s="2" t="s">
        <v>27</v>
      </c>
      <c r="U4" s="2" t="s">
        <v>50</v>
      </c>
      <c r="V4" s="2" t="s">
        <v>51</v>
      </c>
      <c r="W4" s="2" t="s">
        <v>36</v>
      </c>
      <c r="X4" s="2" t="s">
        <v>52</v>
      </c>
      <c r="Y4" s="2" t="str" cm="1">
        <f t="array" ref="Y4">_xlfn.IFS(R4="Equity",T4,R4="Mutual Fund",U4,R4="Government Bonds",V4,R4="Fixed Deposits",W4)</f>
        <v>Capital Appreciation</v>
      </c>
    </row>
    <row r="5" spans="1:25" x14ac:dyDescent="0.3">
      <c r="A5" s="2" t="s">
        <v>46</v>
      </c>
      <c r="B5" s="2">
        <v>22</v>
      </c>
      <c r="C5" s="2" t="s">
        <v>25</v>
      </c>
      <c r="D5" s="2">
        <v>2</v>
      </c>
      <c r="E5" s="2">
        <v>1</v>
      </c>
      <c r="F5" s="2">
        <v>3</v>
      </c>
      <c r="G5" s="2">
        <v>7</v>
      </c>
      <c r="H5" s="2">
        <v>6</v>
      </c>
      <c r="I5" s="2">
        <v>4</v>
      </c>
      <c r="J5" s="2">
        <v>5</v>
      </c>
      <c r="K5" s="2" t="s">
        <v>25</v>
      </c>
      <c r="L5" s="2" t="s">
        <v>26</v>
      </c>
      <c r="M5" s="2" t="s">
        <v>53</v>
      </c>
      <c r="N5" s="2" t="s">
        <v>28</v>
      </c>
      <c r="O5" s="2" t="s">
        <v>54</v>
      </c>
      <c r="P5" s="2" t="s">
        <v>48</v>
      </c>
      <c r="Q5" s="2" t="s">
        <v>55</v>
      </c>
      <c r="R5" s="2" t="s">
        <v>49</v>
      </c>
      <c r="S5" s="2" t="s">
        <v>33</v>
      </c>
      <c r="T5" s="2" t="s">
        <v>43</v>
      </c>
      <c r="U5" s="2" t="s">
        <v>56</v>
      </c>
      <c r="V5" s="2" t="s">
        <v>57</v>
      </c>
      <c r="W5" s="2" t="s">
        <v>44</v>
      </c>
      <c r="X5" s="2" t="s">
        <v>58</v>
      </c>
      <c r="Y5" s="2" t="str" cm="1">
        <f t="array" ref="Y5">_xlfn.IFS(R5="Equity",T5,R5="Mutual Fund",U5,R5="Government Bonds",V5,R5="Fixed Deposits",W5)</f>
        <v>Dividend</v>
      </c>
    </row>
    <row r="6" spans="1:25" x14ac:dyDescent="0.3">
      <c r="A6" s="2" t="s">
        <v>24</v>
      </c>
      <c r="B6" s="2">
        <v>24</v>
      </c>
      <c r="C6" s="2" t="s">
        <v>38</v>
      </c>
      <c r="D6" s="2">
        <v>2</v>
      </c>
      <c r="E6" s="2">
        <v>1</v>
      </c>
      <c r="F6" s="2">
        <v>3</v>
      </c>
      <c r="G6" s="2">
        <v>6</v>
      </c>
      <c r="H6" s="2">
        <v>4</v>
      </c>
      <c r="I6" s="2">
        <v>5</v>
      </c>
      <c r="J6" s="2">
        <v>7</v>
      </c>
      <c r="K6" s="2" t="s">
        <v>38</v>
      </c>
      <c r="L6" s="2" t="s">
        <v>26</v>
      </c>
      <c r="M6" s="2" t="s">
        <v>53</v>
      </c>
      <c r="N6" s="2" t="s">
        <v>28</v>
      </c>
      <c r="O6" s="2" t="s">
        <v>54</v>
      </c>
      <c r="P6" s="2" t="s">
        <v>48</v>
      </c>
      <c r="Q6" s="2" t="s">
        <v>31</v>
      </c>
      <c r="R6" s="2" t="s">
        <v>49</v>
      </c>
      <c r="S6" s="2" t="s">
        <v>33</v>
      </c>
      <c r="T6" s="2" t="s">
        <v>27</v>
      </c>
      <c r="U6" s="2" t="s">
        <v>34</v>
      </c>
      <c r="V6" s="2" t="s">
        <v>35</v>
      </c>
      <c r="W6" s="2" t="s">
        <v>59</v>
      </c>
      <c r="X6" s="2" t="s">
        <v>58</v>
      </c>
      <c r="Y6" s="2" t="str" cm="1">
        <f t="array" ref="Y6">_xlfn.IFS(R6="Equity",T6,R6="Mutual Fund",U6,R6="Government Bonds",V6,R6="Fixed Deposits",W6)</f>
        <v>Capital Appreciation</v>
      </c>
    </row>
    <row r="7" spans="1:25" x14ac:dyDescent="0.3">
      <c r="A7" s="2" t="s">
        <v>24</v>
      </c>
      <c r="B7" s="2">
        <v>24</v>
      </c>
      <c r="C7" s="2" t="s">
        <v>38</v>
      </c>
      <c r="D7" s="2">
        <v>7</v>
      </c>
      <c r="E7" s="2">
        <v>5</v>
      </c>
      <c r="F7" s="2">
        <v>4</v>
      </c>
      <c r="G7" s="2">
        <v>6</v>
      </c>
      <c r="H7" s="2">
        <v>3</v>
      </c>
      <c r="I7" s="2">
        <v>1</v>
      </c>
      <c r="J7" s="2">
        <v>2</v>
      </c>
      <c r="K7" s="2" t="s">
        <v>38</v>
      </c>
      <c r="L7" s="2" t="s">
        <v>60</v>
      </c>
      <c r="M7" s="2" t="s">
        <v>27</v>
      </c>
      <c r="N7" s="2" t="s">
        <v>28</v>
      </c>
      <c r="O7" s="2" t="s">
        <v>29</v>
      </c>
      <c r="P7" s="2" t="s">
        <v>48</v>
      </c>
      <c r="Q7" s="2" t="s">
        <v>61</v>
      </c>
      <c r="R7" s="2" t="s">
        <v>32</v>
      </c>
      <c r="S7" s="2" t="s">
        <v>33</v>
      </c>
      <c r="T7" s="2" t="s">
        <v>62</v>
      </c>
      <c r="U7" s="2" t="s">
        <v>56</v>
      </c>
      <c r="V7" s="2" t="s">
        <v>35</v>
      </c>
      <c r="W7" s="2" t="s">
        <v>59</v>
      </c>
      <c r="X7" s="2" t="s">
        <v>58</v>
      </c>
      <c r="Y7" s="2" t="str" cm="1">
        <f t="array" ref="Y7">_xlfn.IFS(R7="Equity",T7,R7="Mutual Fund",U7,R7="Government Bonds",V7,R7="Fixed Deposits",W7)</f>
        <v>Fund Diversification</v>
      </c>
    </row>
    <row r="8" spans="1:25" x14ac:dyDescent="0.3">
      <c r="A8" s="2" t="s">
        <v>24</v>
      </c>
      <c r="B8" s="2">
        <v>27</v>
      </c>
      <c r="C8" s="2" t="s">
        <v>25</v>
      </c>
      <c r="D8" s="2">
        <v>3</v>
      </c>
      <c r="E8" s="2">
        <v>6</v>
      </c>
      <c r="F8" s="2">
        <v>4</v>
      </c>
      <c r="G8" s="2">
        <v>2</v>
      </c>
      <c r="H8" s="2">
        <v>5</v>
      </c>
      <c r="I8" s="2">
        <v>1</v>
      </c>
      <c r="J8" s="2">
        <v>7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47</v>
      </c>
      <c r="P8" s="2" t="s">
        <v>30</v>
      </c>
      <c r="Q8" s="2" t="s">
        <v>31</v>
      </c>
      <c r="R8" s="2" t="s">
        <v>49</v>
      </c>
      <c r="S8" s="2" t="s">
        <v>33</v>
      </c>
      <c r="T8" s="2" t="s">
        <v>27</v>
      </c>
      <c r="U8" s="2" t="s">
        <v>34</v>
      </c>
      <c r="V8" s="2" t="s">
        <v>51</v>
      </c>
      <c r="W8" s="2" t="s">
        <v>44</v>
      </c>
      <c r="X8" s="2" t="s">
        <v>45</v>
      </c>
      <c r="Y8" s="2" t="str" cm="1">
        <f t="array" ref="Y8">_xlfn.IFS(R8="Equity",T8,R8="Mutual Fund",U8,R8="Government Bonds",V8,R8="Fixed Deposits",W8)</f>
        <v>Capital Appreciation</v>
      </c>
    </row>
    <row r="9" spans="1:25" x14ac:dyDescent="0.3">
      <c r="A9" s="2" t="s">
        <v>46</v>
      </c>
      <c r="B9" s="2">
        <v>21</v>
      </c>
      <c r="C9" s="2" t="s">
        <v>25</v>
      </c>
      <c r="D9" s="2">
        <v>2</v>
      </c>
      <c r="E9" s="2">
        <v>3</v>
      </c>
      <c r="F9" s="2">
        <v>7</v>
      </c>
      <c r="G9" s="2">
        <v>4</v>
      </c>
      <c r="H9" s="2">
        <v>6</v>
      </c>
      <c r="I9" s="2">
        <v>1</v>
      </c>
      <c r="J9" s="2">
        <v>5</v>
      </c>
      <c r="K9" s="2" t="s">
        <v>25</v>
      </c>
      <c r="L9" s="2" t="s">
        <v>60</v>
      </c>
      <c r="M9" s="2" t="s">
        <v>27</v>
      </c>
      <c r="N9" s="2" t="s">
        <v>28</v>
      </c>
      <c r="O9" s="2" t="s">
        <v>47</v>
      </c>
      <c r="P9" s="2" t="s">
        <v>30</v>
      </c>
      <c r="Q9" s="2" t="s">
        <v>31</v>
      </c>
      <c r="R9" s="2" t="s">
        <v>32</v>
      </c>
      <c r="S9" s="2" t="s">
        <v>33</v>
      </c>
      <c r="T9" s="2" t="s">
        <v>27</v>
      </c>
      <c r="U9" s="2" t="s">
        <v>34</v>
      </c>
      <c r="V9" s="2" t="s">
        <v>51</v>
      </c>
      <c r="W9" s="2" t="s">
        <v>59</v>
      </c>
      <c r="X9" s="2" t="s">
        <v>37</v>
      </c>
      <c r="Y9" s="2" t="str" cm="1">
        <f t="array" ref="Y9">_xlfn.IFS(R9="Equity",T9,R9="Mutual Fund",U9,R9="Government Bonds",V9,R9="Fixed Deposits",W9)</f>
        <v>Better Returns</v>
      </c>
    </row>
    <row r="10" spans="1:25" x14ac:dyDescent="0.3">
      <c r="A10" s="2" t="s">
        <v>46</v>
      </c>
      <c r="B10" s="2">
        <v>35</v>
      </c>
      <c r="C10" s="2" t="s">
        <v>25</v>
      </c>
      <c r="D10" s="2">
        <v>2</v>
      </c>
      <c r="E10" s="2">
        <v>4</v>
      </c>
      <c r="F10" s="2">
        <v>7</v>
      </c>
      <c r="G10" s="2">
        <v>5</v>
      </c>
      <c r="H10" s="2">
        <v>3</v>
      </c>
      <c r="I10" s="2">
        <v>1</v>
      </c>
      <c r="J10" s="2">
        <v>6</v>
      </c>
      <c r="K10" s="2" t="s">
        <v>25</v>
      </c>
      <c r="L10" s="2" t="s">
        <v>26</v>
      </c>
      <c r="M10" s="2" t="s">
        <v>63</v>
      </c>
      <c r="N10" s="2" t="s">
        <v>64</v>
      </c>
      <c r="O10" s="2" t="s">
        <v>29</v>
      </c>
      <c r="P10" s="2" t="s">
        <v>41</v>
      </c>
      <c r="Q10" s="2" t="s">
        <v>31</v>
      </c>
      <c r="R10" s="2" t="s">
        <v>49</v>
      </c>
      <c r="S10" s="2" t="s">
        <v>33</v>
      </c>
      <c r="T10" s="2" t="s">
        <v>27</v>
      </c>
      <c r="U10" s="2" t="s">
        <v>56</v>
      </c>
      <c r="V10" s="2" t="s">
        <v>35</v>
      </c>
      <c r="W10" s="2" t="s">
        <v>36</v>
      </c>
      <c r="X10" s="2" t="s">
        <v>52</v>
      </c>
      <c r="Y10" s="2" t="str" cm="1">
        <f t="array" ref="Y10">_xlfn.IFS(R10="Equity",T10,R10="Mutual Fund",U10,R10="Government Bonds",V10,R10="Fixed Deposits",W10)</f>
        <v>Capital Appreciation</v>
      </c>
    </row>
    <row r="11" spans="1:25" x14ac:dyDescent="0.3">
      <c r="A11" s="2" t="s">
        <v>46</v>
      </c>
      <c r="B11" s="2">
        <v>31</v>
      </c>
      <c r="C11" s="2" t="s">
        <v>25</v>
      </c>
      <c r="D11" s="2">
        <v>1</v>
      </c>
      <c r="E11" s="2">
        <v>3</v>
      </c>
      <c r="F11" s="2">
        <v>7</v>
      </c>
      <c r="G11" s="2">
        <v>4</v>
      </c>
      <c r="H11" s="2">
        <v>5</v>
      </c>
      <c r="I11" s="2">
        <v>2</v>
      </c>
      <c r="J11" s="2">
        <v>6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47</v>
      </c>
      <c r="P11" s="2" t="s">
        <v>30</v>
      </c>
      <c r="Q11" s="2" t="s">
        <v>61</v>
      </c>
      <c r="R11" s="2" t="s">
        <v>65</v>
      </c>
      <c r="S11" s="2" t="s">
        <v>33</v>
      </c>
      <c r="T11" s="2" t="s">
        <v>27</v>
      </c>
      <c r="U11" s="2" t="s">
        <v>56</v>
      </c>
      <c r="V11" s="2" t="s">
        <v>51</v>
      </c>
      <c r="W11" s="2" t="s">
        <v>36</v>
      </c>
      <c r="X11" s="2" t="s">
        <v>37</v>
      </c>
      <c r="Y11" s="2" t="str" cm="1">
        <f t="array" ref="Y11">_xlfn.IFS(R11="Equity",T11,R11="Mutual Fund",U11,R11="Government Bonds",V11,R11="Fixed Deposits",W11)</f>
        <v>Fixed Returns</v>
      </c>
    </row>
    <row r="12" spans="1:25" x14ac:dyDescent="0.3">
      <c r="A12" s="2" t="s">
        <v>24</v>
      </c>
      <c r="B12" s="2">
        <v>35</v>
      </c>
      <c r="C12" s="2" t="s">
        <v>25</v>
      </c>
      <c r="D12" s="2">
        <v>2</v>
      </c>
      <c r="E12" s="2">
        <v>4</v>
      </c>
      <c r="F12" s="2">
        <v>7</v>
      </c>
      <c r="G12" s="2">
        <v>5</v>
      </c>
      <c r="H12" s="2">
        <v>3</v>
      </c>
      <c r="I12" s="2">
        <v>1</v>
      </c>
      <c r="J12" s="2">
        <v>6</v>
      </c>
      <c r="K12" s="2" t="s">
        <v>25</v>
      </c>
      <c r="L12" s="2" t="s">
        <v>60</v>
      </c>
      <c r="M12" s="2" t="s">
        <v>63</v>
      </c>
      <c r="N12" s="2" t="s">
        <v>64</v>
      </c>
      <c r="O12" s="2" t="s">
        <v>47</v>
      </c>
      <c r="P12" s="2" t="s">
        <v>30</v>
      </c>
      <c r="Q12" s="2" t="s">
        <v>31</v>
      </c>
      <c r="R12" s="2" t="s">
        <v>32</v>
      </c>
      <c r="S12" s="2" t="s">
        <v>33</v>
      </c>
      <c r="T12" s="2" t="s">
        <v>27</v>
      </c>
      <c r="U12" s="2" t="s">
        <v>34</v>
      </c>
      <c r="V12" s="2" t="s">
        <v>51</v>
      </c>
      <c r="W12" s="2" t="s">
        <v>59</v>
      </c>
      <c r="X12" s="2" t="s">
        <v>45</v>
      </c>
      <c r="Y12" s="2" t="str" cm="1">
        <f t="array" ref="Y12">_xlfn.IFS(R12="Equity",T12,R12="Mutual Fund",U12,R12="Government Bonds",V12,R12="Fixed Deposits",W12)</f>
        <v>Better Returns</v>
      </c>
    </row>
    <row r="13" spans="1:25" x14ac:dyDescent="0.3">
      <c r="A13" s="2" t="s">
        <v>46</v>
      </c>
      <c r="B13" s="2">
        <v>29</v>
      </c>
      <c r="C13" s="2" t="s">
        <v>25</v>
      </c>
      <c r="D13" s="2">
        <v>2</v>
      </c>
      <c r="E13" s="2">
        <v>5</v>
      </c>
      <c r="F13" s="2">
        <v>7</v>
      </c>
      <c r="G13" s="2">
        <v>6</v>
      </c>
      <c r="H13" s="2">
        <v>3</v>
      </c>
      <c r="I13" s="2">
        <v>1</v>
      </c>
      <c r="J13" s="2">
        <v>4</v>
      </c>
      <c r="K13" s="2" t="s">
        <v>25</v>
      </c>
      <c r="L13" s="2" t="s">
        <v>60</v>
      </c>
      <c r="M13" s="2" t="s">
        <v>27</v>
      </c>
      <c r="N13" s="2" t="s">
        <v>28</v>
      </c>
      <c r="O13" s="2" t="s">
        <v>29</v>
      </c>
      <c r="P13" s="2" t="s">
        <v>30</v>
      </c>
      <c r="Q13" s="2" t="s">
        <v>31</v>
      </c>
      <c r="R13" s="2" t="s">
        <v>32</v>
      </c>
      <c r="S13" s="2" t="s">
        <v>33</v>
      </c>
      <c r="T13" s="2" t="s">
        <v>27</v>
      </c>
      <c r="U13" s="2" t="s">
        <v>56</v>
      </c>
      <c r="V13" s="2" t="s">
        <v>51</v>
      </c>
      <c r="W13" s="2" t="s">
        <v>36</v>
      </c>
      <c r="X13" s="2" t="s">
        <v>45</v>
      </c>
      <c r="Y13" s="2" t="str" cm="1">
        <f t="array" ref="Y13">_xlfn.IFS(R13="Equity",T13,R13="Mutual Fund",U13,R13="Government Bonds",V13,R13="Fixed Deposits",W13)</f>
        <v>Fund Diversification</v>
      </c>
    </row>
    <row r="14" spans="1:25" x14ac:dyDescent="0.3">
      <c r="A14" s="2" t="s">
        <v>24</v>
      </c>
      <c r="B14" s="2">
        <v>21</v>
      </c>
      <c r="C14" s="2" t="s">
        <v>38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 t="s">
        <v>38</v>
      </c>
      <c r="L14" s="2" t="s">
        <v>26</v>
      </c>
      <c r="M14" s="2" t="s">
        <v>27</v>
      </c>
      <c r="N14" s="2" t="s">
        <v>64</v>
      </c>
      <c r="O14" s="2" t="s">
        <v>29</v>
      </c>
      <c r="P14" s="2" t="s">
        <v>41</v>
      </c>
      <c r="Q14" s="2" t="s">
        <v>31</v>
      </c>
      <c r="R14" s="2" t="s">
        <v>32</v>
      </c>
      <c r="S14" s="2" t="s">
        <v>66</v>
      </c>
      <c r="T14" s="2" t="s">
        <v>43</v>
      </c>
      <c r="U14" s="2" t="s">
        <v>34</v>
      </c>
      <c r="V14" s="2" t="s">
        <v>35</v>
      </c>
      <c r="W14" s="2" t="s">
        <v>59</v>
      </c>
      <c r="X14" s="2" t="s">
        <v>58</v>
      </c>
      <c r="Y14" s="2" t="str" cm="1">
        <f t="array" ref="Y14">_xlfn.IFS(R14="Equity",T14,R14="Mutual Fund",U14,R14="Government Bonds",V14,R14="Fixed Deposits",W14)</f>
        <v>Better Returns</v>
      </c>
    </row>
    <row r="15" spans="1:25" x14ac:dyDescent="0.3">
      <c r="A15" s="2" t="s">
        <v>24</v>
      </c>
      <c r="B15" s="2">
        <v>28</v>
      </c>
      <c r="C15" s="2" t="s">
        <v>25</v>
      </c>
      <c r="D15" s="2">
        <v>2</v>
      </c>
      <c r="E15" s="2">
        <v>3</v>
      </c>
      <c r="F15" s="2">
        <v>7</v>
      </c>
      <c r="G15" s="2">
        <v>4</v>
      </c>
      <c r="H15" s="2">
        <v>5</v>
      </c>
      <c r="I15" s="2">
        <v>1</v>
      </c>
      <c r="J15" s="2">
        <v>6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  <c r="P15" s="2" t="s">
        <v>30</v>
      </c>
      <c r="Q15" s="2" t="s">
        <v>31</v>
      </c>
      <c r="R15" s="2" t="s">
        <v>32</v>
      </c>
      <c r="S15" s="2" t="s">
        <v>33</v>
      </c>
      <c r="T15" s="2" t="s">
        <v>27</v>
      </c>
      <c r="U15" s="2" t="s">
        <v>56</v>
      </c>
      <c r="V15" s="2" t="s">
        <v>51</v>
      </c>
      <c r="W15" s="2" t="s">
        <v>59</v>
      </c>
      <c r="X15" s="2" t="s">
        <v>37</v>
      </c>
      <c r="Y15" s="2" t="str" cm="1">
        <f t="array" ref="Y15">_xlfn.IFS(R15="Equity",T15,R15="Mutual Fund",U15,R15="Government Bonds",V15,R15="Fixed Deposits",W15)</f>
        <v>Fund Diversification</v>
      </c>
    </row>
    <row r="16" spans="1:25" x14ac:dyDescent="0.3">
      <c r="A16" s="2" t="s">
        <v>24</v>
      </c>
      <c r="B16" s="2">
        <v>25</v>
      </c>
      <c r="C16" s="2" t="s">
        <v>25</v>
      </c>
      <c r="D16" s="2">
        <v>2</v>
      </c>
      <c r="E16" s="2">
        <v>3</v>
      </c>
      <c r="F16" s="2">
        <v>7</v>
      </c>
      <c r="G16" s="2">
        <v>5</v>
      </c>
      <c r="H16" s="2">
        <v>4</v>
      </c>
      <c r="I16" s="2">
        <v>1</v>
      </c>
      <c r="J16" s="2">
        <v>6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  <c r="P16" s="2" t="s">
        <v>30</v>
      </c>
      <c r="Q16" s="2" t="s">
        <v>31</v>
      </c>
      <c r="R16" s="2" t="s">
        <v>65</v>
      </c>
      <c r="S16" s="2" t="s">
        <v>42</v>
      </c>
      <c r="T16" s="2" t="s">
        <v>43</v>
      </c>
      <c r="U16" s="2" t="s">
        <v>34</v>
      </c>
      <c r="V16" s="2" t="s">
        <v>51</v>
      </c>
      <c r="W16" s="2" t="s">
        <v>59</v>
      </c>
      <c r="X16" s="2" t="s">
        <v>45</v>
      </c>
      <c r="Y16" s="2" t="str" cm="1">
        <f t="array" ref="Y16">_xlfn.IFS(R16="Equity",T16,R16="Mutual Fund",U16,R16="Government Bonds",V16,R16="Fixed Deposits",W16)</f>
        <v>Risk Free</v>
      </c>
    </row>
    <row r="17" spans="1:25" x14ac:dyDescent="0.3">
      <c r="A17" s="2" t="s">
        <v>46</v>
      </c>
      <c r="B17" s="2">
        <v>27</v>
      </c>
      <c r="C17" s="2" t="s">
        <v>25</v>
      </c>
      <c r="D17" s="2">
        <v>2</v>
      </c>
      <c r="E17" s="2">
        <v>3</v>
      </c>
      <c r="F17" s="2">
        <v>7</v>
      </c>
      <c r="G17" s="2">
        <v>5</v>
      </c>
      <c r="H17" s="2">
        <v>4</v>
      </c>
      <c r="I17" s="2">
        <v>1</v>
      </c>
      <c r="J17" s="2">
        <v>6</v>
      </c>
      <c r="K17" s="2" t="s">
        <v>25</v>
      </c>
      <c r="L17" s="2" t="s">
        <v>26</v>
      </c>
      <c r="M17" s="2" t="s">
        <v>27</v>
      </c>
      <c r="N17" s="2" t="s">
        <v>28</v>
      </c>
      <c r="O17" s="2" t="s">
        <v>29</v>
      </c>
      <c r="P17" s="2" t="s">
        <v>30</v>
      </c>
      <c r="Q17" s="2" t="s">
        <v>31</v>
      </c>
      <c r="R17" s="2" t="s">
        <v>32</v>
      </c>
      <c r="S17" s="2" t="s">
        <v>42</v>
      </c>
      <c r="T17" s="2" t="s">
        <v>27</v>
      </c>
      <c r="U17" s="2" t="s">
        <v>56</v>
      </c>
      <c r="V17" s="2" t="s">
        <v>51</v>
      </c>
      <c r="W17" s="2" t="s">
        <v>59</v>
      </c>
      <c r="X17" s="2" t="s">
        <v>37</v>
      </c>
      <c r="Y17" s="2" t="str" cm="1">
        <f t="array" ref="Y17">_xlfn.IFS(R17="Equity",T17,R17="Mutual Fund",U17,R17="Government Bonds",V17,R17="Fixed Deposits",W17)</f>
        <v>Fund Diversification</v>
      </c>
    </row>
    <row r="18" spans="1:25" x14ac:dyDescent="0.3">
      <c r="A18" s="2" t="s">
        <v>24</v>
      </c>
      <c r="B18" s="2">
        <v>28</v>
      </c>
      <c r="C18" s="2" t="s">
        <v>25</v>
      </c>
      <c r="D18" s="2">
        <v>3</v>
      </c>
      <c r="E18" s="2">
        <v>2</v>
      </c>
      <c r="F18" s="2">
        <v>7</v>
      </c>
      <c r="G18" s="2">
        <v>5</v>
      </c>
      <c r="H18" s="2">
        <v>4</v>
      </c>
      <c r="I18" s="2">
        <v>1</v>
      </c>
      <c r="J18" s="2">
        <v>6</v>
      </c>
      <c r="K18" s="2" t="s">
        <v>25</v>
      </c>
      <c r="L18" s="2" t="s">
        <v>60</v>
      </c>
      <c r="M18" s="2" t="s">
        <v>63</v>
      </c>
      <c r="N18" s="2" t="s">
        <v>28</v>
      </c>
      <c r="O18" s="2" t="s">
        <v>29</v>
      </c>
      <c r="P18" s="2" t="s">
        <v>30</v>
      </c>
      <c r="Q18" s="2" t="s">
        <v>31</v>
      </c>
      <c r="R18" s="2" t="s">
        <v>65</v>
      </c>
      <c r="S18" s="2" t="s">
        <v>42</v>
      </c>
      <c r="T18" s="2" t="s">
        <v>27</v>
      </c>
      <c r="U18" s="2" t="s">
        <v>56</v>
      </c>
      <c r="V18" s="2" t="s">
        <v>51</v>
      </c>
      <c r="W18" s="2" t="s">
        <v>59</v>
      </c>
      <c r="X18" s="2" t="s">
        <v>52</v>
      </c>
      <c r="Y18" s="2" t="str" cm="1">
        <f t="array" ref="Y18">_xlfn.IFS(R18="Equity",T18,R18="Mutual Fund",U18,R18="Government Bonds",V18,R18="Fixed Deposits",W18)</f>
        <v>Risk Free</v>
      </c>
    </row>
    <row r="19" spans="1:25" x14ac:dyDescent="0.3">
      <c r="A19" s="2" t="s">
        <v>46</v>
      </c>
      <c r="B19" s="2">
        <v>27</v>
      </c>
      <c r="C19" s="2" t="s">
        <v>25</v>
      </c>
      <c r="D19" s="2">
        <v>3</v>
      </c>
      <c r="E19" s="2">
        <v>2</v>
      </c>
      <c r="F19" s="2">
        <v>7</v>
      </c>
      <c r="G19" s="2">
        <v>4</v>
      </c>
      <c r="H19" s="2">
        <v>5</v>
      </c>
      <c r="I19" s="2">
        <v>1</v>
      </c>
      <c r="J19" s="2">
        <v>6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  <c r="P19" s="2" t="s">
        <v>30</v>
      </c>
      <c r="Q19" s="2" t="s">
        <v>31</v>
      </c>
      <c r="R19" s="2" t="s">
        <v>32</v>
      </c>
      <c r="S19" s="2" t="s">
        <v>33</v>
      </c>
      <c r="T19" s="2" t="s">
        <v>27</v>
      </c>
      <c r="U19" s="2" t="s">
        <v>34</v>
      </c>
      <c r="V19" s="2" t="s">
        <v>51</v>
      </c>
      <c r="W19" s="2" t="s">
        <v>59</v>
      </c>
      <c r="X19" s="2" t="s">
        <v>45</v>
      </c>
      <c r="Y19" s="2" t="str" cm="1">
        <f t="array" ref="Y19">_xlfn.IFS(R19="Equity",T19,R19="Mutual Fund",U19,R19="Government Bonds",V19,R19="Fixed Deposits",W19)</f>
        <v>Better Returns</v>
      </c>
    </row>
    <row r="20" spans="1:25" x14ac:dyDescent="0.3">
      <c r="A20" s="2" t="s">
        <v>46</v>
      </c>
      <c r="B20" s="2">
        <v>29</v>
      </c>
      <c r="C20" s="2" t="s">
        <v>25</v>
      </c>
      <c r="D20" s="2">
        <v>3</v>
      </c>
      <c r="E20" s="2">
        <v>2</v>
      </c>
      <c r="F20" s="2">
        <v>7</v>
      </c>
      <c r="G20" s="2">
        <v>4</v>
      </c>
      <c r="H20" s="2">
        <v>5</v>
      </c>
      <c r="I20" s="2">
        <v>1</v>
      </c>
      <c r="J20" s="2">
        <v>6</v>
      </c>
      <c r="K20" s="2" t="s">
        <v>25</v>
      </c>
      <c r="L20" s="2" t="s">
        <v>60</v>
      </c>
      <c r="M20" s="2" t="s">
        <v>27</v>
      </c>
      <c r="N20" s="2" t="s">
        <v>28</v>
      </c>
      <c r="O20" s="2" t="s">
        <v>29</v>
      </c>
      <c r="P20" s="2" t="s">
        <v>30</v>
      </c>
      <c r="Q20" s="2" t="s">
        <v>31</v>
      </c>
      <c r="R20" s="2" t="s">
        <v>32</v>
      </c>
      <c r="S20" s="2" t="s">
        <v>33</v>
      </c>
      <c r="T20" s="2" t="s">
        <v>27</v>
      </c>
      <c r="U20" s="2" t="s">
        <v>34</v>
      </c>
      <c r="V20" s="2" t="s">
        <v>51</v>
      </c>
      <c r="W20" s="2" t="s">
        <v>59</v>
      </c>
      <c r="X20" s="2" t="s">
        <v>37</v>
      </c>
      <c r="Y20" s="2" t="str" cm="1">
        <f t="array" ref="Y20">_xlfn.IFS(R20="Equity",T20,R20="Mutual Fund",U20,R20="Government Bonds",V20,R20="Fixed Deposits",W20)</f>
        <v>Better Returns</v>
      </c>
    </row>
    <row r="21" spans="1:25" x14ac:dyDescent="0.3">
      <c r="A21" s="2" t="s">
        <v>46</v>
      </c>
      <c r="B21" s="2">
        <v>26</v>
      </c>
      <c r="C21" s="2" t="s">
        <v>25</v>
      </c>
      <c r="D21" s="2">
        <v>3</v>
      </c>
      <c r="E21" s="2">
        <v>4</v>
      </c>
      <c r="F21" s="2">
        <v>6</v>
      </c>
      <c r="G21" s="2">
        <v>5</v>
      </c>
      <c r="H21" s="2">
        <v>1</v>
      </c>
      <c r="I21" s="2">
        <v>2</v>
      </c>
      <c r="J21" s="2">
        <v>7</v>
      </c>
      <c r="K21" s="2" t="s">
        <v>25</v>
      </c>
      <c r="L21" s="2" t="s">
        <v>60</v>
      </c>
      <c r="M21" s="2" t="s">
        <v>27</v>
      </c>
      <c r="N21" s="2" t="s">
        <v>28</v>
      </c>
      <c r="O21" s="2" t="s">
        <v>47</v>
      </c>
      <c r="P21" s="2" t="s">
        <v>30</v>
      </c>
      <c r="Q21" s="2" t="s">
        <v>31</v>
      </c>
      <c r="R21" s="2" t="s">
        <v>65</v>
      </c>
      <c r="S21" s="2" t="s">
        <v>42</v>
      </c>
      <c r="T21" s="2" t="s">
        <v>27</v>
      </c>
      <c r="U21" s="2" t="s">
        <v>56</v>
      </c>
      <c r="V21" s="2" t="s">
        <v>51</v>
      </c>
      <c r="W21" s="2" t="s">
        <v>59</v>
      </c>
      <c r="X21" s="2" t="s">
        <v>37</v>
      </c>
      <c r="Y21" s="2" t="str" cm="1">
        <f t="array" ref="Y21">_xlfn.IFS(R21="Equity",T21,R21="Mutual Fund",U21,R21="Government Bonds",V21,R21="Fixed Deposits",W21)</f>
        <v>Risk Free</v>
      </c>
    </row>
    <row r="22" spans="1:25" x14ac:dyDescent="0.3">
      <c r="A22" s="2" t="s">
        <v>46</v>
      </c>
      <c r="B22" s="2">
        <v>29</v>
      </c>
      <c r="C22" s="2" t="s">
        <v>25</v>
      </c>
      <c r="D22" s="2">
        <v>2</v>
      </c>
      <c r="E22" s="2">
        <v>4</v>
      </c>
      <c r="F22" s="2">
        <v>7</v>
      </c>
      <c r="G22" s="2">
        <v>5</v>
      </c>
      <c r="H22" s="2">
        <v>3</v>
      </c>
      <c r="I22" s="2">
        <v>1</v>
      </c>
      <c r="J22" s="2">
        <v>6</v>
      </c>
      <c r="K22" s="2" t="s">
        <v>25</v>
      </c>
      <c r="L22" s="2" t="s">
        <v>26</v>
      </c>
      <c r="M22" s="2" t="s">
        <v>63</v>
      </c>
      <c r="N22" s="2" t="s">
        <v>28</v>
      </c>
      <c r="O22" s="2" t="s">
        <v>47</v>
      </c>
      <c r="P22" s="2" t="s">
        <v>41</v>
      </c>
      <c r="Q22" s="2" t="s">
        <v>31</v>
      </c>
      <c r="R22" s="2" t="s">
        <v>32</v>
      </c>
      <c r="S22" s="2" t="s">
        <v>33</v>
      </c>
      <c r="T22" s="2" t="s">
        <v>27</v>
      </c>
      <c r="U22" s="2" t="s">
        <v>34</v>
      </c>
      <c r="V22" s="2" t="s">
        <v>51</v>
      </c>
      <c r="W22" s="2" t="s">
        <v>36</v>
      </c>
      <c r="X22" s="2" t="s">
        <v>45</v>
      </c>
      <c r="Y22" s="2" t="str" cm="1">
        <f t="array" ref="Y22">_xlfn.IFS(R22="Equity",T22,R22="Mutual Fund",U22,R22="Government Bonds",V22,R22="Fixed Deposits",W22)</f>
        <v>Better Returns</v>
      </c>
    </row>
    <row r="23" spans="1:25" x14ac:dyDescent="0.3">
      <c r="A23" s="2" t="s">
        <v>24</v>
      </c>
      <c r="B23" s="2">
        <v>24</v>
      </c>
      <c r="C23" s="2" t="s">
        <v>25</v>
      </c>
      <c r="D23" s="2">
        <v>2</v>
      </c>
      <c r="E23" s="2">
        <v>4</v>
      </c>
      <c r="F23" s="2">
        <v>5</v>
      </c>
      <c r="G23" s="2">
        <v>6</v>
      </c>
      <c r="H23" s="2">
        <v>3</v>
      </c>
      <c r="I23" s="2">
        <v>1</v>
      </c>
      <c r="J23" s="2">
        <v>7</v>
      </c>
      <c r="K23" s="2" t="s">
        <v>25</v>
      </c>
      <c r="L23" s="2" t="s">
        <v>60</v>
      </c>
      <c r="M23" s="2" t="s">
        <v>27</v>
      </c>
      <c r="N23" s="2" t="s">
        <v>28</v>
      </c>
      <c r="O23" s="2" t="s">
        <v>47</v>
      </c>
      <c r="P23" s="2" t="s">
        <v>30</v>
      </c>
      <c r="Q23" s="2" t="s">
        <v>31</v>
      </c>
      <c r="R23" s="2" t="s">
        <v>49</v>
      </c>
      <c r="S23" s="2" t="s">
        <v>42</v>
      </c>
      <c r="T23" s="2" t="s">
        <v>27</v>
      </c>
      <c r="U23" s="2" t="s">
        <v>34</v>
      </c>
      <c r="V23" s="2" t="s">
        <v>51</v>
      </c>
      <c r="W23" s="2" t="s">
        <v>59</v>
      </c>
      <c r="X23" s="2" t="s">
        <v>37</v>
      </c>
      <c r="Y23" s="2" t="str" cm="1">
        <f t="array" ref="Y23">_xlfn.IFS(R23="Equity",T23,R23="Mutual Fund",U23,R23="Government Bonds",V23,R23="Fixed Deposits",W23)</f>
        <v>Capital Appreciation</v>
      </c>
    </row>
    <row r="24" spans="1:25" x14ac:dyDescent="0.3">
      <c r="A24" s="2" t="s">
        <v>46</v>
      </c>
      <c r="B24" s="2">
        <v>27</v>
      </c>
      <c r="C24" s="2" t="s">
        <v>25</v>
      </c>
      <c r="D24" s="2">
        <v>3</v>
      </c>
      <c r="E24" s="2">
        <v>4</v>
      </c>
      <c r="F24" s="2">
        <v>6</v>
      </c>
      <c r="G24" s="2">
        <v>5</v>
      </c>
      <c r="H24" s="2">
        <v>2</v>
      </c>
      <c r="I24" s="2">
        <v>1</v>
      </c>
      <c r="J24" s="2">
        <v>7</v>
      </c>
      <c r="K24" s="2" t="s">
        <v>25</v>
      </c>
      <c r="L24" s="2" t="s">
        <v>26</v>
      </c>
      <c r="M24" s="2" t="s">
        <v>27</v>
      </c>
      <c r="N24" s="2" t="s">
        <v>28</v>
      </c>
      <c r="O24" s="2" t="s">
        <v>47</v>
      </c>
      <c r="P24" s="2" t="s">
        <v>30</v>
      </c>
      <c r="Q24" s="2" t="s">
        <v>31</v>
      </c>
      <c r="R24" s="2" t="s">
        <v>32</v>
      </c>
      <c r="S24" s="2" t="s">
        <v>33</v>
      </c>
      <c r="T24" s="2" t="s">
        <v>27</v>
      </c>
      <c r="U24" s="2" t="s">
        <v>34</v>
      </c>
      <c r="V24" s="2" t="s">
        <v>51</v>
      </c>
      <c r="W24" s="2" t="s">
        <v>59</v>
      </c>
      <c r="X24" s="2" t="s">
        <v>45</v>
      </c>
      <c r="Y24" s="2" t="str" cm="1">
        <f t="array" ref="Y24">_xlfn.IFS(R24="Equity",T24,R24="Mutual Fund",U24,R24="Government Bonds",V24,R24="Fixed Deposits",W24)</f>
        <v>Better Returns</v>
      </c>
    </row>
    <row r="25" spans="1:25" x14ac:dyDescent="0.3">
      <c r="A25" s="2" t="s">
        <v>46</v>
      </c>
      <c r="B25" s="2">
        <v>25</v>
      </c>
      <c r="C25" s="2" t="s">
        <v>25</v>
      </c>
      <c r="D25" s="2">
        <v>2</v>
      </c>
      <c r="E25" s="2">
        <v>4</v>
      </c>
      <c r="F25" s="2">
        <v>6</v>
      </c>
      <c r="G25" s="2">
        <v>5</v>
      </c>
      <c r="H25" s="2">
        <v>3</v>
      </c>
      <c r="I25" s="2">
        <v>1</v>
      </c>
      <c r="J25" s="2">
        <v>7</v>
      </c>
      <c r="K25" s="2" t="s">
        <v>25</v>
      </c>
      <c r="L25" s="2" t="s">
        <v>60</v>
      </c>
      <c r="M25" s="2" t="s">
        <v>63</v>
      </c>
      <c r="N25" s="2" t="s">
        <v>64</v>
      </c>
      <c r="O25" s="2" t="s">
        <v>47</v>
      </c>
      <c r="P25" s="2" t="s">
        <v>41</v>
      </c>
      <c r="Q25" s="2" t="s">
        <v>31</v>
      </c>
      <c r="R25" s="2" t="s">
        <v>67</v>
      </c>
      <c r="S25" s="2" t="s">
        <v>42</v>
      </c>
      <c r="T25" s="2" t="s">
        <v>62</v>
      </c>
      <c r="U25" s="2" t="s">
        <v>34</v>
      </c>
      <c r="V25" s="2" t="s">
        <v>51</v>
      </c>
      <c r="W25" s="2" t="s">
        <v>59</v>
      </c>
      <c r="X25" s="2" t="s">
        <v>45</v>
      </c>
      <c r="Y25" s="2" t="str" cm="1">
        <f t="array" ref="Y25">_xlfn.IFS(R25="Equity",T25,R25="Mutual Fund",U25,R25="Government Bonds",V25,R25="Fixed Deposits",W25,"True","Other")</f>
        <v>Other</v>
      </c>
    </row>
    <row r="26" spans="1:25" x14ac:dyDescent="0.3">
      <c r="A26" s="2" t="s">
        <v>24</v>
      </c>
      <c r="B26" s="2">
        <v>26</v>
      </c>
      <c r="C26" s="2" t="s">
        <v>25</v>
      </c>
      <c r="D26" s="2">
        <v>2</v>
      </c>
      <c r="E26" s="2">
        <v>3</v>
      </c>
      <c r="F26" s="2">
        <v>7</v>
      </c>
      <c r="G26" s="2">
        <v>5</v>
      </c>
      <c r="H26" s="2">
        <v>4</v>
      </c>
      <c r="I26" s="2">
        <v>1</v>
      </c>
      <c r="J26" s="2">
        <v>6</v>
      </c>
      <c r="K26" s="2" t="s">
        <v>25</v>
      </c>
      <c r="L26" s="2" t="s">
        <v>26</v>
      </c>
      <c r="M26" s="2" t="s">
        <v>27</v>
      </c>
      <c r="N26" s="2" t="s">
        <v>28</v>
      </c>
      <c r="O26" s="2" t="s">
        <v>47</v>
      </c>
      <c r="P26" s="2" t="s">
        <v>30</v>
      </c>
      <c r="Q26" s="2" t="s">
        <v>61</v>
      </c>
      <c r="R26" s="2" t="s">
        <v>67</v>
      </c>
      <c r="S26" s="2" t="s">
        <v>33</v>
      </c>
      <c r="T26" s="2" t="s">
        <v>27</v>
      </c>
      <c r="U26" s="2" t="s">
        <v>34</v>
      </c>
      <c r="V26" s="2" t="s">
        <v>51</v>
      </c>
      <c r="W26" s="2" t="s">
        <v>59</v>
      </c>
      <c r="X26" s="2" t="s">
        <v>37</v>
      </c>
      <c r="Y26" s="2" t="str" cm="1">
        <f t="array" ref="Y26">_xlfn.IFS(R26="Equity",T26,R26="Mutual Fund",U26,R26="Government Bonds",V26,R26="Fixed Deposits",W26,"True","Other")</f>
        <v>Other</v>
      </c>
    </row>
    <row r="27" spans="1:25" x14ac:dyDescent="0.3">
      <c r="A27" s="2" t="s">
        <v>24</v>
      </c>
      <c r="B27" s="2">
        <v>32</v>
      </c>
      <c r="C27" s="2" t="s">
        <v>25</v>
      </c>
      <c r="D27" s="2">
        <v>3</v>
      </c>
      <c r="E27" s="2">
        <v>4</v>
      </c>
      <c r="F27" s="2">
        <v>7</v>
      </c>
      <c r="G27" s="2">
        <v>5</v>
      </c>
      <c r="H27" s="2">
        <v>1</v>
      </c>
      <c r="I27" s="2">
        <v>2</v>
      </c>
      <c r="J27" s="2">
        <v>6</v>
      </c>
      <c r="K27" s="2" t="s">
        <v>25</v>
      </c>
      <c r="L27" s="2" t="s">
        <v>60</v>
      </c>
      <c r="M27" s="2" t="s">
        <v>63</v>
      </c>
      <c r="N27" s="2" t="s">
        <v>28</v>
      </c>
      <c r="O27" s="2" t="s">
        <v>47</v>
      </c>
      <c r="P27" s="2" t="s">
        <v>30</v>
      </c>
      <c r="Q27" s="2" t="s">
        <v>31</v>
      </c>
      <c r="R27" s="2" t="s">
        <v>32</v>
      </c>
      <c r="S27" s="2" t="s">
        <v>33</v>
      </c>
      <c r="T27" s="2" t="s">
        <v>27</v>
      </c>
      <c r="U27" s="2" t="s">
        <v>34</v>
      </c>
      <c r="V27" s="2" t="s">
        <v>51</v>
      </c>
      <c r="W27" s="2" t="s">
        <v>36</v>
      </c>
      <c r="X27" s="2" t="s">
        <v>45</v>
      </c>
      <c r="Y27" s="2" t="str" cm="1">
        <f t="array" ref="Y27">_xlfn.IFS(R27="Equity",T27,R27="Mutual Fund",U27,R27="Government Bonds",V27,R27="Fixed Deposits",W27,"True","Other")</f>
        <v>Better Returns</v>
      </c>
    </row>
    <row r="28" spans="1:25" x14ac:dyDescent="0.3">
      <c r="A28" s="2" t="s">
        <v>46</v>
      </c>
      <c r="B28" s="2">
        <v>26</v>
      </c>
      <c r="C28" s="2" t="s">
        <v>25</v>
      </c>
      <c r="D28" s="2">
        <v>3</v>
      </c>
      <c r="E28" s="2">
        <v>4</v>
      </c>
      <c r="F28" s="2">
        <v>6</v>
      </c>
      <c r="G28" s="2">
        <v>5</v>
      </c>
      <c r="H28" s="2">
        <v>1</v>
      </c>
      <c r="I28" s="2">
        <v>2</v>
      </c>
      <c r="J28" s="2">
        <v>7</v>
      </c>
      <c r="K28" s="2" t="s">
        <v>25</v>
      </c>
      <c r="L28" s="2" t="s">
        <v>26</v>
      </c>
      <c r="M28" s="2" t="s">
        <v>27</v>
      </c>
      <c r="N28" s="2" t="s">
        <v>28</v>
      </c>
      <c r="O28" s="2" t="s">
        <v>47</v>
      </c>
      <c r="P28" s="2" t="s">
        <v>30</v>
      </c>
      <c r="Q28" s="2" t="s">
        <v>31</v>
      </c>
      <c r="R28" s="2" t="s">
        <v>32</v>
      </c>
      <c r="S28" s="2" t="s">
        <v>33</v>
      </c>
      <c r="T28" s="2" t="s">
        <v>43</v>
      </c>
      <c r="U28" s="2" t="s">
        <v>56</v>
      </c>
      <c r="V28" s="2" t="s">
        <v>51</v>
      </c>
      <c r="W28" s="2" t="s">
        <v>36</v>
      </c>
      <c r="X28" s="2" t="s">
        <v>45</v>
      </c>
      <c r="Y28" s="2" t="str" cm="1">
        <f t="array" ref="Y28">_xlfn.IFS(R28="Equity",T28,R28="Mutual Fund",U28,R28="Government Bonds",V28,R28="Fixed Deposits",W28,"True","Other")</f>
        <v>Fund Diversification</v>
      </c>
    </row>
    <row r="29" spans="1:25" x14ac:dyDescent="0.3">
      <c r="A29" s="2" t="s">
        <v>46</v>
      </c>
      <c r="B29" s="2">
        <v>31</v>
      </c>
      <c r="C29" s="2" t="s">
        <v>25</v>
      </c>
      <c r="D29" s="2">
        <v>2</v>
      </c>
      <c r="E29" s="2">
        <v>3</v>
      </c>
      <c r="F29" s="2">
        <v>7</v>
      </c>
      <c r="G29" s="2">
        <v>6</v>
      </c>
      <c r="H29" s="2">
        <v>4</v>
      </c>
      <c r="I29" s="2">
        <v>1</v>
      </c>
      <c r="J29" s="2">
        <v>5</v>
      </c>
      <c r="K29" s="2" t="s">
        <v>25</v>
      </c>
      <c r="L29" s="2" t="s">
        <v>60</v>
      </c>
      <c r="M29" s="2" t="s">
        <v>63</v>
      </c>
      <c r="N29" s="2" t="s">
        <v>64</v>
      </c>
      <c r="O29" s="2" t="s">
        <v>29</v>
      </c>
      <c r="P29" s="2" t="s">
        <v>30</v>
      </c>
      <c r="Q29" s="2" t="s">
        <v>31</v>
      </c>
      <c r="R29" s="2" t="s">
        <v>65</v>
      </c>
      <c r="S29" s="2" t="s">
        <v>42</v>
      </c>
      <c r="T29" s="2" t="s">
        <v>27</v>
      </c>
      <c r="U29" s="2" t="s">
        <v>56</v>
      </c>
      <c r="V29" s="2" t="s">
        <v>35</v>
      </c>
      <c r="W29" s="2" t="s">
        <v>36</v>
      </c>
      <c r="X29" s="2" t="s">
        <v>52</v>
      </c>
      <c r="Y29" s="2" t="str" cm="1">
        <f t="array" ref="Y29">_xlfn.IFS(R29="Equity",T29,R29="Mutual Fund",U29,R29="Government Bonds",V29,R29="Fixed Deposits",W29,"True","Other")</f>
        <v>Fixed Returns</v>
      </c>
    </row>
    <row r="30" spans="1:25" x14ac:dyDescent="0.3">
      <c r="A30" s="2" t="s">
        <v>46</v>
      </c>
      <c r="B30" s="2">
        <v>29</v>
      </c>
      <c r="C30" s="2" t="s">
        <v>25</v>
      </c>
      <c r="D30" s="2">
        <v>2</v>
      </c>
      <c r="E30" s="2">
        <v>3</v>
      </c>
      <c r="F30" s="2">
        <v>6</v>
      </c>
      <c r="G30" s="2">
        <v>5</v>
      </c>
      <c r="H30" s="2">
        <v>1</v>
      </c>
      <c r="I30" s="2">
        <v>4</v>
      </c>
      <c r="J30" s="2">
        <v>7</v>
      </c>
      <c r="K30" s="2" t="s">
        <v>25</v>
      </c>
      <c r="L30" s="2" t="s">
        <v>26</v>
      </c>
      <c r="M30" s="2" t="s">
        <v>27</v>
      </c>
      <c r="N30" s="2" t="s">
        <v>28</v>
      </c>
      <c r="O30" s="2" t="s">
        <v>29</v>
      </c>
      <c r="P30" s="2" t="s">
        <v>30</v>
      </c>
      <c r="Q30" s="2" t="s">
        <v>31</v>
      </c>
      <c r="R30" s="2" t="s">
        <v>49</v>
      </c>
      <c r="S30" s="2" t="s">
        <v>33</v>
      </c>
      <c r="T30" s="2" t="s">
        <v>27</v>
      </c>
      <c r="U30" s="2" t="s">
        <v>34</v>
      </c>
      <c r="V30" s="2" t="s">
        <v>51</v>
      </c>
      <c r="W30" s="2" t="s">
        <v>59</v>
      </c>
      <c r="X30" s="2" t="s">
        <v>52</v>
      </c>
      <c r="Y30" s="2" t="str" cm="1">
        <f t="array" ref="Y30">_xlfn.IFS(R30="Equity",T30,R30="Mutual Fund",U30,R30="Government Bonds",V30,R30="Fixed Deposits",W30,"True","Other")</f>
        <v>Capital Appreciation</v>
      </c>
    </row>
    <row r="31" spans="1:25" x14ac:dyDescent="0.3">
      <c r="A31" s="2" t="s">
        <v>24</v>
      </c>
      <c r="B31" s="2">
        <v>34</v>
      </c>
      <c r="C31" s="2" t="s">
        <v>25</v>
      </c>
      <c r="D31" s="2">
        <v>5</v>
      </c>
      <c r="E31" s="2">
        <v>4</v>
      </c>
      <c r="F31" s="2">
        <v>3</v>
      </c>
      <c r="G31" s="2">
        <v>2</v>
      </c>
      <c r="H31" s="2">
        <v>7</v>
      </c>
      <c r="I31" s="2">
        <v>1</v>
      </c>
      <c r="J31" s="2">
        <v>6</v>
      </c>
      <c r="K31" s="2" t="s">
        <v>25</v>
      </c>
      <c r="L31" s="2" t="s">
        <v>26</v>
      </c>
      <c r="M31" s="2" t="s">
        <v>53</v>
      </c>
      <c r="N31" s="2" t="s">
        <v>26</v>
      </c>
      <c r="O31" s="2" t="s">
        <v>47</v>
      </c>
      <c r="P31" s="2" t="s">
        <v>30</v>
      </c>
      <c r="Q31" s="2" t="s">
        <v>55</v>
      </c>
      <c r="R31" s="2" t="s">
        <v>32</v>
      </c>
      <c r="S31" s="2" t="s">
        <v>33</v>
      </c>
      <c r="T31" s="2" t="s">
        <v>27</v>
      </c>
      <c r="U31" s="2" t="s">
        <v>50</v>
      </c>
      <c r="V31" s="2" t="s">
        <v>35</v>
      </c>
      <c r="W31" s="2" t="s">
        <v>36</v>
      </c>
      <c r="X31" s="2" t="s">
        <v>37</v>
      </c>
      <c r="Y31" s="2" t="str" cm="1">
        <f t="array" ref="Y31">_xlfn.IFS(R31="Equity",T31,R31="Mutual Fund",U31,R31="Government Bonds",V31,R31="Fixed Deposits",W31,"True","Other")</f>
        <v>Tax Benefits</v>
      </c>
    </row>
    <row r="32" spans="1:25" x14ac:dyDescent="0.3">
      <c r="A32" s="2" t="s">
        <v>46</v>
      </c>
      <c r="B32" s="2">
        <v>27</v>
      </c>
      <c r="C32" s="2" t="s">
        <v>25</v>
      </c>
      <c r="D32" s="2">
        <v>4</v>
      </c>
      <c r="E32" s="2">
        <v>5</v>
      </c>
      <c r="F32" s="2">
        <v>1</v>
      </c>
      <c r="G32" s="2">
        <v>2</v>
      </c>
      <c r="H32" s="2">
        <v>7</v>
      </c>
      <c r="I32" s="2">
        <v>3</v>
      </c>
      <c r="J32" s="2">
        <v>6</v>
      </c>
      <c r="K32" s="2" t="s">
        <v>38</v>
      </c>
      <c r="L32" s="2" t="s">
        <v>26</v>
      </c>
      <c r="M32" s="2" t="s">
        <v>63</v>
      </c>
      <c r="N32" s="2" t="s">
        <v>28</v>
      </c>
      <c r="O32" s="2" t="s">
        <v>29</v>
      </c>
      <c r="P32" s="2" t="s">
        <v>30</v>
      </c>
      <c r="Q32" s="2" t="s">
        <v>55</v>
      </c>
      <c r="R32" s="2" t="s">
        <v>32</v>
      </c>
      <c r="S32" s="2" t="s">
        <v>66</v>
      </c>
      <c r="T32" s="2" t="s">
        <v>27</v>
      </c>
      <c r="U32" s="2" t="s">
        <v>50</v>
      </c>
      <c r="V32" s="2" t="s">
        <v>35</v>
      </c>
      <c r="W32" s="2" t="s">
        <v>36</v>
      </c>
      <c r="X32" s="2" t="s">
        <v>52</v>
      </c>
      <c r="Y32" s="2" t="str" cm="1">
        <f t="array" ref="Y32">_xlfn.IFS(R32="Equity",T32,R32="Mutual Fund",U32,R32="Government Bonds",V32,R32="Fixed Deposits",W32,"True","Other")</f>
        <v>Tax Benefits</v>
      </c>
    </row>
    <row r="33" spans="1:25" x14ac:dyDescent="0.3">
      <c r="A33" s="2" t="s">
        <v>24</v>
      </c>
      <c r="B33" s="2">
        <v>31</v>
      </c>
      <c r="C33" s="2" t="s">
        <v>25</v>
      </c>
      <c r="D33" s="2">
        <v>2</v>
      </c>
      <c r="E33" s="2">
        <v>4</v>
      </c>
      <c r="F33" s="2">
        <v>7</v>
      </c>
      <c r="G33" s="2">
        <v>6</v>
      </c>
      <c r="H33" s="2">
        <v>3</v>
      </c>
      <c r="I33" s="2">
        <v>1</v>
      </c>
      <c r="J33" s="2">
        <v>5</v>
      </c>
      <c r="K33" s="2" t="s">
        <v>25</v>
      </c>
      <c r="L33" s="2" t="s">
        <v>26</v>
      </c>
      <c r="M33" s="2" t="s">
        <v>27</v>
      </c>
      <c r="N33" s="2" t="s">
        <v>28</v>
      </c>
      <c r="O33" s="2" t="s">
        <v>47</v>
      </c>
      <c r="P33" s="2" t="s">
        <v>30</v>
      </c>
      <c r="Q33" s="2" t="s">
        <v>31</v>
      </c>
      <c r="R33" s="2" t="s">
        <v>65</v>
      </c>
      <c r="S33" s="2" t="s">
        <v>33</v>
      </c>
      <c r="T33" s="2" t="s">
        <v>27</v>
      </c>
      <c r="U33" s="2" t="s">
        <v>34</v>
      </c>
      <c r="V33" s="2" t="s">
        <v>51</v>
      </c>
      <c r="W33" s="2" t="s">
        <v>36</v>
      </c>
      <c r="X33" s="2" t="s">
        <v>45</v>
      </c>
      <c r="Y33" s="2" t="str" cm="1">
        <f t="array" ref="Y33">_xlfn.IFS(R33="Equity",T33,R33="Mutual Fund",U33,R33="Government Bonds",V33,R33="Fixed Deposits",W33,"True","Other")</f>
        <v>Fixed Returns</v>
      </c>
    </row>
    <row r="34" spans="1:25" x14ac:dyDescent="0.3">
      <c r="A34" s="2" t="s">
        <v>46</v>
      </c>
      <c r="B34" s="2">
        <v>27</v>
      </c>
      <c r="C34" s="2" t="s">
        <v>25</v>
      </c>
      <c r="D34" s="2">
        <v>2</v>
      </c>
      <c r="E34" s="2">
        <v>4</v>
      </c>
      <c r="F34" s="2">
        <v>7</v>
      </c>
      <c r="G34" s="2">
        <v>5</v>
      </c>
      <c r="H34" s="2">
        <v>1</v>
      </c>
      <c r="I34" s="2">
        <v>3</v>
      </c>
      <c r="J34" s="2">
        <v>6</v>
      </c>
      <c r="K34" s="2" t="s">
        <v>25</v>
      </c>
      <c r="L34" s="2" t="s">
        <v>26</v>
      </c>
      <c r="M34" s="2" t="s">
        <v>27</v>
      </c>
      <c r="N34" s="2" t="s">
        <v>28</v>
      </c>
      <c r="O34" s="2" t="s">
        <v>47</v>
      </c>
      <c r="P34" s="2" t="s">
        <v>30</v>
      </c>
      <c r="Q34" s="2" t="s">
        <v>61</v>
      </c>
      <c r="R34" s="2" t="s">
        <v>49</v>
      </c>
      <c r="S34" s="2" t="s">
        <v>42</v>
      </c>
      <c r="T34" s="2" t="s">
        <v>27</v>
      </c>
      <c r="U34" s="2" t="s">
        <v>56</v>
      </c>
      <c r="V34" s="2" t="s">
        <v>51</v>
      </c>
      <c r="W34" s="2" t="s">
        <v>36</v>
      </c>
      <c r="X34" s="2" t="s">
        <v>37</v>
      </c>
      <c r="Y34" s="2" t="str" cm="1">
        <f t="array" ref="Y34">_xlfn.IFS(R34="Equity",T34,R34="Mutual Fund",U34,R34="Government Bonds",V34,R34="Fixed Deposits",W34,"True","Other")</f>
        <v>Capital Appreciation</v>
      </c>
    </row>
    <row r="35" spans="1:25" x14ac:dyDescent="0.3">
      <c r="A35" s="2" t="s">
        <v>46</v>
      </c>
      <c r="B35" s="2">
        <v>26</v>
      </c>
      <c r="C35" s="2" t="s">
        <v>25</v>
      </c>
      <c r="D35" s="2">
        <v>2</v>
      </c>
      <c r="E35" s="2">
        <v>3</v>
      </c>
      <c r="F35" s="2">
        <v>6</v>
      </c>
      <c r="G35" s="2">
        <v>4</v>
      </c>
      <c r="H35" s="2">
        <v>1</v>
      </c>
      <c r="I35" s="2">
        <v>5</v>
      </c>
      <c r="J35" s="2">
        <v>7</v>
      </c>
      <c r="K35" s="2" t="s">
        <v>25</v>
      </c>
      <c r="L35" s="2" t="s">
        <v>26</v>
      </c>
      <c r="M35" s="2" t="s">
        <v>27</v>
      </c>
      <c r="N35" s="2" t="s">
        <v>26</v>
      </c>
      <c r="O35" s="2" t="s">
        <v>29</v>
      </c>
      <c r="P35" s="2" t="s">
        <v>30</v>
      </c>
      <c r="Q35" s="2" t="s">
        <v>31</v>
      </c>
      <c r="R35" s="2" t="s">
        <v>65</v>
      </c>
      <c r="S35" s="2" t="s">
        <v>66</v>
      </c>
      <c r="T35" s="2" t="s">
        <v>43</v>
      </c>
      <c r="U35" s="2" t="s">
        <v>34</v>
      </c>
      <c r="V35" s="2" t="s">
        <v>35</v>
      </c>
      <c r="W35" s="2" t="s">
        <v>59</v>
      </c>
      <c r="X35" s="2" t="s">
        <v>37</v>
      </c>
      <c r="Y35" s="2" t="str" cm="1">
        <f t="array" ref="Y35">_xlfn.IFS(R35="Equity",T35,R35="Mutual Fund",U35,R35="Government Bonds",V35,R35="Fixed Deposits",W35,"True","Other")</f>
        <v>Risk Free</v>
      </c>
    </row>
    <row r="36" spans="1:25" x14ac:dyDescent="0.3">
      <c r="A36" s="2" t="s">
        <v>46</v>
      </c>
      <c r="B36" s="2">
        <v>27</v>
      </c>
      <c r="C36" s="2" t="s">
        <v>25</v>
      </c>
      <c r="D36" s="2">
        <v>2</v>
      </c>
      <c r="E36" s="2">
        <v>3</v>
      </c>
      <c r="F36" s="2">
        <v>6</v>
      </c>
      <c r="G36" s="2">
        <v>5</v>
      </c>
      <c r="H36" s="2">
        <v>4</v>
      </c>
      <c r="I36" s="2">
        <v>1</v>
      </c>
      <c r="J36" s="2">
        <v>7</v>
      </c>
      <c r="K36" s="2" t="s">
        <v>25</v>
      </c>
      <c r="L36" s="2" t="s">
        <v>26</v>
      </c>
      <c r="M36" s="2" t="s">
        <v>27</v>
      </c>
      <c r="N36" s="2" t="s">
        <v>28</v>
      </c>
      <c r="O36" s="2" t="s">
        <v>29</v>
      </c>
      <c r="P36" s="2" t="s">
        <v>41</v>
      </c>
      <c r="Q36" s="2" t="s">
        <v>31</v>
      </c>
      <c r="R36" s="2" t="s">
        <v>32</v>
      </c>
      <c r="S36" s="2" t="s">
        <v>42</v>
      </c>
      <c r="T36" s="2" t="s">
        <v>27</v>
      </c>
      <c r="U36" s="2" t="s">
        <v>34</v>
      </c>
      <c r="V36" s="2" t="s">
        <v>35</v>
      </c>
      <c r="W36" s="2" t="s">
        <v>36</v>
      </c>
      <c r="X36" s="2" t="s">
        <v>45</v>
      </c>
      <c r="Y36" s="2" t="str" cm="1">
        <f t="array" ref="Y36">_xlfn.IFS(R36="Equity",T36,R36="Mutual Fund",U36,R36="Government Bonds",V36,R36="Fixed Deposits",W36,"True","Other")</f>
        <v>Better Returns</v>
      </c>
    </row>
    <row r="37" spans="1:25" x14ac:dyDescent="0.3">
      <c r="A37" s="2" t="s">
        <v>46</v>
      </c>
      <c r="B37" s="2">
        <v>30</v>
      </c>
      <c r="C37" s="2" t="s">
        <v>25</v>
      </c>
      <c r="D37" s="2">
        <v>1</v>
      </c>
      <c r="E37" s="2">
        <v>4</v>
      </c>
      <c r="F37" s="2">
        <v>6</v>
      </c>
      <c r="G37" s="2">
        <v>5</v>
      </c>
      <c r="H37" s="2">
        <v>3</v>
      </c>
      <c r="I37" s="2">
        <v>2</v>
      </c>
      <c r="J37" s="2">
        <v>7</v>
      </c>
      <c r="K37" s="2" t="s">
        <v>25</v>
      </c>
      <c r="L37" s="2" t="s">
        <v>60</v>
      </c>
      <c r="M37" s="2" t="s">
        <v>63</v>
      </c>
      <c r="N37" s="2" t="s">
        <v>28</v>
      </c>
      <c r="O37" s="2" t="s">
        <v>47</v>
      </c>
      <c r="P37" s="2" t="s">
        <v>30</v>
      </c>
      <c r="Q37" s="2" t="s">
        <v>31</v>
      </c>
      <c r="R37" s="2" t="s">
        <v>65</v>
      </c>
      <c r="S37" s="2" t="s">
        <v>42</v>
      </c>
      <c r="T37" s="2" t="s">
        <v>27</v>
      </c>
      <c r="U37" s="2" t="s">
        <v>34</v>
      </c>
      <c r="V37" s="2" t="s">
        <v>51</v>
      </c>
      <c r="W37" s="2" t="s">
        <v>36</v>
      </c>
      <c r="X37" s="2" t="s">
        <v>45</v>
      </c>
      <c r="Y37" s="2" t="str" cm="1">
        <f t="array" ref="Y37">_xlfn.IFS(R37="Equity",T37,R37="Mutual Fund",U37,R37="Government Bonds",V37,R37="Fixed Deposits",W37,"True","Other")</f>
        <v>Fixed Returns</v>
      </c>
    </row>
    <row r="38" spans="1:25" x14ac:dyDescent="0.3">
      <c r="A38" s="2" t="s">
        <v>46</v>
      </c>
      <c r="B38" s="2">
        <v>30</v>
      </c>
      <c r="C38" s="2" t="s">
        <v>25</v>
      </c>
      <c r="D38" s="2">
        <v>2</v>
      </c>
      <c r="E38" s="2">
        <v>4</v>
      </c>
      <c r="F38" s="2">
        <v>7</v>
      </c>
      <c r="G38" s="2">
        <v>5</v>
      </c>
      <c r="H38" s="2">
        <v>1</v>
      </c>
      <c r="I38" s="2">
        <v>3</v>
      </c>
      <c r="J38" s="2">
        <v>6</v>
      </c>
      <c r="K38" s="2" t="s">
        <v>25</v>
      </c>
      <c r="L38" s="2" t="s">
        <v>26</v>
      </c>
      <c r="M38" s="2" t="s">
        <v>27</v>
      </c>
      <c r="N38" s="2" t="s">
        <v>28</v>
      </c>
      <c r="O38" s="2" t="s">
        <v>29</v>
      </c>
      <c r="P38" s="2" t="s">
        <v>30</v>
      </c>
      <c r="Q38" s="2" t="s">
        <v>31</v>
      </c>
      <c r="R38" s="2" t="s">
        <v>49</v>
      </c>
      <c r="S38" s="2" t="s">
        <v>33</v>
      </c>
      <c r="T38" s="2" t="s">
        <v>27</v>
      </c>
      <c r="U38" s="2" t="s">
        <v>34</v>
      </c>
      <c r="V38" s="2" t="s">
        <v>51</v>
      </c>
      <c r="W38" s="2" t="s">
        <v>59</v>
      </c>
      <c r="X38" s="2" t="s">
        <v>37</v>
      </c>
      <c r="Y38" s="2" t="str" cm="1">
        <f t="array" ref="Y38">_xlfn.IFS(R38="Equity",T38,R38="Mutual Fund",U38,R38="Government Bonds",V38,R38="Fixed Deposits",W38,"True","Other")</f>
        <v>Capital Appreciation</v>
      </c>
    </row>
    <row r="39" spans="1:25" x14ac:dyDescent="0.3">
      <c r="A39" s="2" t="s">
        <v>46</v>
      </c>
      <c r="B39" s="2">
        <v>25</v>
      </c>
      <c r="C39" s="2" t="s">
        <v>25</v>
      </c>
      <c r="D39" s="2">
        <v>5</v>
      </c>
      <c r="E39" s="2">
        <v>4</v>
      </c>
      <c r="F39" s="2">
        <v>7</v>
      </c>
      <c r="G39" s="2">
        <v>6</v>
      </c>
      <c r="H39" s="2">
        <v>1</v>
      </c>
      <c r="I39" s="2">
        <v>2</v>
      </c>
      <c r="J39" s="2">
        <v>3</v>
      </c>
      <c r="K39" s="2" t="s">
        <v>25</v>
      </c>
      <c r="L39" s="2" t="s">
        <v>60</v>
      </c>
      <c r="M39" s="2" t="s">
        <v>63</v>
      </c>
      <c r="N39" s="2" t="s">
        <v>64</v>
      </c>
      <c r="O39" s="2" t="s">
        <v>47</v>
      </c>
      <c r="P39" s="2" t="s">
        <v>30</v>
      </c>
      <c r="Q39" s="2" t="s">
        <v>61</v>
      </c>
      <c r="R39" s="2" t="s">
        <v>67</v>
      </c>
      <c r="S39" s="2" t="s">
        <v>42</v>
      </c>
      <c r="T39" s="2" t="s">
        <v>27</v>
      </c>
      <c r="U39" s="2" t="s">
        <v>34</v>
      </c>
      <c r="V39" s="2" t="s">
        <v>35</v>
      </c>
      <c r="W39" s="2" t="s">
        <v>36</v>
      </c>
      <c r="X39" s="2" t="s">
        <v>45</v>
      </c>
      <c r="Y39" s="2" t="str" cm="1">
        <f t="array" ref="Y39">_xlfn.IFS(R39="Equity",T39,R39="Mutual Fund",U39,R39="Government Bonds",V39,R39="Fixed Deposits",W39,"True","Other")</f>
        <v>Other</v>
      </c>
    </row>
    <row r="40" spans="1:25" x14ac:dyDescent="0.3">
      <c r="A40" s="2" t="s">
        <v>46</v>
      </c>
      <c r="B40" s="2">
        <v>31</v>
      </c>
      <c r="C40" s="2" t="s">
        <v>25</v>
      </c>
      <c r="D40" s="2">
        <v>2</v>
      </c>
      <c r="E40" s="2">
        <v>4</v>
      </c>
      <c r="F40" s="2">
        <v>7</v>
      </c>
      <c r="G40" s="2">
        <v>5</v>
      </c>
      <c r="H40" s="2">
        <v>3</v>
      </c>
      <c r="I40" s="2">
        <v>1</v>
      </c>
      <c r="J40" s="2">
        <v>6</v>
      </c>
      <c r="K40" s="2" t="s">
        <v>25</v>
      </c>
      <c r="L40" s="2" t="s">
        <v>60</v>
      </c>
      <c r="M40" s="2" t="s">
        <v>63</v>
      </c>
      <c r="N40" s="2" t="s">
        <v>28</v>
      </c>
      <c r="O40" s="2" t="s">
        <v>29</v>
      </c>
      <c r="P40" s="2" t="s">
        <v>41</v>
      </c>
      <c r="Q40" s="2" t="s">
        <v>31</v>
      </c>
      <c r="R40" s="2" t="s">
        <v>49</v>
      </c>
      <c r="S40" s="2" t="s">
        <v>42</v>
      </c>
      <c r="T40" s="2" t="s">
        <v>43</v>
      </c>
      <c r="U40" s="2" t="s">
        <v>56</v>
      </c>
      <c r="V40" s="2" t="s">
        <v>51</v>
      </c>
      <c r="W40" s="2" t="s">
        <v>36</v>
      </c>
      <c r="X40" s="2" t="s">
        <v>37</v>
      </c>
      <c r="Y40" s="2" t="str" cm="1">
        <f t="array" ref="Y40">_xlfn.IFS(R40="Equity",T40,R40="Mutual Fund",U40,R40="Government Bonds",V40,R40="Fixed Deposits",W40,"True","Other")</f>
        <v>Dividend</v>
      </c>
    </row>
    <row r="41" spans="1:25" x14ac:dyDescent="0.3">
      <c r="A41" s="2" t="s">
        <v>46</v>
      </c>
      <c r="B41" s="2">
        <v>29</v>
      </c>
      <c r="C41" s="2" t="s">
        <v>25</v>
      </c>
      <c r="D41" s="2">
        <v>4</v>
      </c>
      <c r="E41" s="2">
        <v>3</v>
      </c>
      <c r="F41" s="2">
        <v>5</v>
      </c>
      <c r="G41" s="2">
        <v>7</v>
      </c>
      <c r="H41" s="2">
        <v>2</v>
      </c>
      <c r="I41" s="2">
        <v>1</v>
      </c>
      <c r="J41" s="2">
        <v>6</v>
      </c>
      <c r="K41" s="2" t="s">
        <v>25</v>
      </c>
      <c r="L41" s="2" t="s">
        <v>26</v>
      </c>
      <c r="M41" s="2" t="s">
        <v>27</v>
      </c>
      <c r="N41" s="2" t="s">
        <v>28</v>
      </c>
      <c r="O41" s="2" t="s">
        <v>47</v>
      </c>
      <c r="P41" s="2" t="s">
        <v>30</v>
      </c>
      <c r="Q41" s="2" t="s">
        <v>31</v>
      </c>
      <c r="R41" s="2" t="s">
        <v>65</v>
      </c>
      <c r="S41" s="2" t="s">
        <v>33</v>
      </c>
      <c r="T41" s="2" t="s">
        <v>43</v>
      </c>
      <c r="U41" s="2" t="s">
        <v>34</v>
      </c>
      <c r="V41" s="2" t="s">
        <v>35</v>
      </c>
      <c r="W41" s="2" t="s">
        <v>36</v>
      </c>
      <c r="X41" s="2" t="s">
        <v>45</v>
      </c>
      <c r="Y41" s="2" t="str" cm="1">
        <f t="array" ref="Y41">_xlfn.IFS(R41="Equity",T41,R41="Mutual Fund",U41,R41="Government Bonds",V41,R41="Fixed Deposits",W41,"True","Other")</f>
        <v>Fixed Returns</v>
      </c>
    </row>
  </sheetData>
  <autoFilter ref="Y1:Y41" xr:uid="{8C7F6AF5-23F9-42A1-8556-AF702E4C0D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Singh</dc:creator>
  <cp:lastModifiedBy>Abhijit Singh</cp:lastModifiedBy>
  <dcterms:created xsi:type="dcterms:W3CDTF">2026-09-24T06:32:53Z</dcterms:created>
  <dcterms:modified xsi:type="dcterms:W3CDTF">2026-09-27T16:50:20Z</dcterms:modified>
</cp:coreProperties>
</file>